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s\P2O5\GeoWeb_P2O5\P2O5_Web_Map_VF\Unified_Farmer_Coordinates_P2O5_Map_Multilingual_AR_FR_EN\Files\"/>
    </mc:Choice>
  </mc:AlternateContent>
  <bookViews>
    <workbookView xWindow="0" yWindow="0" windowWidth="25200" windowHeight="11730" activeTab="1"/>
  </bookViews>
  <sheets>
    <sheet name="ملخص" sheetId="2" r:id="rId1"/>
    <sheet name="التجميع" sheetId="1" r:id="rId2"/>
  </sheets>
  <definedNames>
    <definedName name="_xlnm._FilterDatabase" localSheetId="1" hidden="1">التجميع!$A$1:$Q$481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</calcChain>
</file>

<file path=xl/comments1.xml><?xml version="1.0" encoding="utf-8"?>
<comments xmlns="http://schemas.openxmlformats.org/spreadsheetml/2006/main">
  <authors>
    <author>Unknown Author</author>
  </authors>
  <commentList>
    <comment ref="Q1" authorId="0" shapeId="0">
      <text>
        <r>
          <rPr>
            <sz val="10"/>
            <rFont val="Arial"/>
            <family val="2"/>
          </rPr>
          <t>Valeurs P2O5 FICTIVES, generees a titre d'exemple (script Python, seed=42) pour permettre les tests de cartographie IDW. Distribution realiste calquee sur les classes agronomiques usuelles du P2O5 assimilable methode Olsen (ppm) : &lt;15 tres faible, 15-30 faible, 30-60 moyen/optimal, 60-90 eleve, &gt;90 tres eleve. A REMPLACER par les resultats reels d'analyse de sol des laboratoires.</t>
        </r>
      </text>
    </comment>
  </commentList>
</comments>
</file>

<file path=xl/sharedStrings.xml><?xml version="1.0" encoding="utf-8"?>
<sst xmlns="http://schemas.openxmlformats.org/spreadsheetml/2006/main" count="412" uniqueCount="164">
  <si>
    <t>الرقم التسلسلي</t>
  </si>
  <si>
    <t>الملف المصدر</t>
  </si>
  <si>
    <t>المجموعة/المعتمدية</t>
  </si>
  <si>
    <t>رقم العينة/المرجع</t>
  </si>
  <si>
    <t>اسم الفلاح</t>
  </si>
  <si>
    <t>المكان / القطعة</t>
  </si>
  <si>
    <t>رمز العينة</t>
  </si>
  <si>
    <t xml:space="preserve"> Latitude (WGS84)</t>
  </si>
  <si>
    <t xml:space="preserve"> Longitude (WGS84)</t>
  </si>
  <si>
    <t>الولاية المصرح بها</t>
  </si>
  <si>
    <t>نظام الإحداثيات الأصلي</t>
  </si>
  <si>
    <t>الإحداثيات الأصلية (كما وردت)</t>
  </si>
  <si>
    <t>المساحة (هك)</t>
  </si>
  <si>
    <t>الزراعة السابقة</t>
  </si>
  <si>
    <t>الهاتف</t>
  </si>
  <si>
    <t>ملاحظات</t>
  </si>
  <si>
    <t>P2O5 assim. (ppm - Olsen)</t>
  </si>
  <si>
    <t>تجميع موحّد لإحداثيات المزارعين (نظام WGS84 - درجات عشرية)</t>
  </si>
  <si>
    <t>عدد النقاط الإجمالي</t>
  </si>
  <si>
    <t>عدد النقاط بإحداثيات صالحة</t>
  </si>
  <si>
    <t>عدد النقاط تحتاج مراجعة (مظللة بالأحمر)</t>
  </si>
  <si>
    <t>عدد الفلاحين/المستغلين</t>
  </si>
  <si>
    <t>إجمالي المساحة (هك) - حسب عدد الفلاحين (بدون تكرار)</t>
  </si>
  <si>
    <t>نظام الإحداثيات الموحّد المعتمد</t>
  </si>
  <si>
    <t>تم توحيد جميع الإحداثيات إلى نظام WGS84 بالدرجات العشرية (Latitude / Longitude)، وهو النظام القابل للفتح المباشر في خرائط غوغل وتطبيقات GPS.</t>
  </si>
  <si>
    <t>Base_Nationale_Phosphore_Sol_Collecte_Tataouine</t>
  </si>
  <si>
    <t>Chebika</t>
  </si>
  <si>
    <t>PT-001</t>
  </si>
  <si>
    <t>Ferme Ben Ali</t>
  </si>
  <si>
    <t>dhaw hayek</t>
  </si>
  <si>
    <t>mokhtar hayek</t>
  </si>
  <si>
    <t>imhamed handoura</t>
  </si>
  <si>
    <t>mohamed farhati</t>
  </si>
  <si>
    <t>mounir ben salih jamii</t>
  </si>
  <si>
    <t>zoubair yahyaoui</t>
  </si>
  <si>
    <t>haythem haddad</t>
  </si>
  <si>
    <t>fathi triki</t>
  </si>
  <si>
    <t>hakim triki</t>
  </si>
  <si>
    <t>masoud boubekri</t>
  </si>
  <si>
    <t>amor aloui</t>
  </si>
  <si>
    <t>mabrouk lasswed</t>
  </si>
  <si>
    <t>mohamed alaya</t>
  </si>
  <si>
    <t>hedi bouchahwa</t>
  </si>
  <si>
    <t>ahmed laaroussi</t>
  </si>
  <si>
    <t>mohamed b abdelkader bisnoun</t>
  </si>
  <si>
    <t>taher bisnoun</t>
  </si>
  <si>
    <t>ibrahim khorcheni</t>
  </si>
  <si>
    <t>ahmed khorcheni</t>
  </si>
  <si>
    <t>alaa dhiibi</t>
  </si>
  <si>
    <t>boubaker miskin</t>
  </si>
  <si>
    <t>mounir guider</t>
  </si>
  <si>
    <t>houcine mrayhi</t>
  </si>
  <si>
    <t>ziyed dhibi</t>
  </si>
  <si>
    <t>mohamed ourghmi</t>
  </si>
  <si>
    <t>amara mrabit</t>
  </si>
  <si>
    <t>farhat lytim</t>
  </si>
  <si>
    <t>miloud bissnoun</t>
  </si>
  <si>
    <t>abdelkader roba</t>
  </si>
  <si>
    <t>salah roba</t>
  </si>
  <si>
    <t>khaled jdid</t>
  </si>
  <si>
    <t>mahmoud bissnoun</t>
  </si>
  <si>
    <t>ahmed hbassi</t>
  </si>
  <si>
    <t>adel hawat</t>
  </si>
  <si>
    <t>mosbah zorraga</t>
  </si>
  <si>
    <t>rabii abdelmoula</t>
  </si>
  <si>
    <t>abdelhak sabri</t>
  </si>
  <si>
    <t>ali hamdi</t>
  </si>
  <si>
    <t>societé citoyenne kambout</t>
  </si>
  <si>
    <t>Tataouine</t>
  </si>
  <si>
    <t>DD (WGS 84)</t>
  </si>
  <si>
    <t>UTM 32 N Carthage</t>
  </si>
  <si>
    <t>X : 10,0963 /  Y : 35,6781</t>
  </si>
  <si>
    <t>X : 669912 /  Y : 3657233</t>
  </si>
  <si>
    <t>X : 669967 /  Y : 3657729</t>
  </si>
  <si>
    <t>X : 679777 /  Y : 3653354</t>
  </si>
  <si>
    <t>X : 635455 /  Y : 3669192</t>
  </si>
  <si>
    <t>X : 637060 /  Y : 3671226</t>
  </si>
  <si>
    <t>X : 640162 /  Y : 3672394</t>
  </si>
  <si>
    <t>X : 638265 /  Y : 3672710</t>
  </si>
  <si>
    <t>X : 636338 /  Y : 3675575</t>
  </si>
  <si>
    <t>X : 636116 /  Y : 3675605</t>
  </si>
  <si>
    <t>X : 636326 /  Y : 3669102</t>
  </si>
  <si>
    <t>X : 668525 /  Y : 3660618</t>
  </si>
  <si>
    <t>X : 666354 /  Y : 3652064</t>
  </si>
  <si>
    <t>X : 655612 /  Y : 3658491</t>
  </si>
  <si>
    <t>X : 669253 /  Y : 3652534</t>
  </si>
  <si>
    <t>X : 659506 /  Y : 3645368</t>
  </si>
  <si>
    <t>X : 628044 /  Y : 3646199</t>
  </si>
  <si>
    <t>X : 627919 /  Y : 3646310</t>
  </si>
  <si>
    <t>X : 626462 /  Y : 3647960</t>
  </si>
  <si>
    <t>X : 626950 /  Y : 3647596</t>
  </si>
  <si>
    <t>X : 665348 /  Y : 3547097</t>
  </si>
  <si>
    <t>X : 664864 /  Y : 3546347</t>
  </si>
  <si>
    <t>X : 667424 /  Y : 3551286</t>
  </si>
  <si>
    <t>X : 666253 /  Y : 3547414</t>
  </si>
  <si>
    <t>X : 666657 /  Y : 3550551</t>
  </si>
  <si>
    <t>X : 665232 /  Y : 3547033</t>
  </si>
  <si>
    <t>X : 624132 /  Y : 3614144</t>
  </si>
  <si>
    <t>X : 637388 /  Y : 3638597</t>
  </si>
  <si>
    <t>X : 638175 /  Y : 3637119</t>
  </si>
  <si>
    <t>X : 627790 /  Y : 3646258</t>
  </si>
  <si>
    <t>X : 628554 /  Y : 3648703</t>
  </si>
  <si>
    <t>X : 628543 /  Y : 3648736</t>
  </si>
  <si>
    <t>X : 635905 /  Y : 3658781</t>
  </si>
  <si>
    <t>X : 618013 /  Y : 3652591</t>
  </si>
  <si>
    <t>X : 636623 /  Y : 3564216</t>
  </si>
  <si>
    <t>X : 636803 /  Y : 3561729</t>
  </si>
  <si>
    <t>X : 634858 /  Y : 3567462</t>
  </si>
  <si>
    <t>X : 631208 /  Y : 3571409</t>
  </si>
  <si>
    <t>X : 604373 /  Y : 3609408</t>
  </si>
  <si>
    <t>X : 621073 /  Y : 3583698</t>
  </si>
  <si>
    <t>X : 622975 /  Y : 3574798</t>
  </si>
  <si>
    <t>X : 636069 /  Y : 3658834</t>
  </si>
  <si>
    <t>X : 618158 /  Y : 3652446</t>
  </si>
  <si>
    <t>Ble dur</t>
  </si>
  <si>
    <t>Blé dur</t>
  </si>
  <si>
    <t>Prof. : 0-30 /  Texture : Argilo-limoneux</t>
  </si>
  <si>
    <t>Prof. : 0-20 /  Texture : sable-limoneux</t>
  </si>
  <si>
    <t>Prof. : 0-20 /  Texture : Limon-équillibré</t>
  </si>
  <si>
    <t>Prof. : 0-20 /  Texture : Sable-limoneux</t>
  </si>
  <si>
    <t>Prof. : 0-20 /  Texture : Sable</t>
  </si>
  <si>
    <t>Prof. : 0-20 /  Texture : Limon-sableux</t>
  </si>
  <si>
    <t>Prof. : 0-20 /  Texture : Limon fin</t>
  </si>
  <si>
    <t>Prof. : 0-20 /  Texture : Limon</t>
  </si>
  <si>
    <t>Prof. : 0-30 /  Texture : Limon trés fin</t>
  </si>
  <si>
    <t>Prof. : 0-30 /  Texture : caillouteux</t>
  </si>
  <si>
    <t>Prof. : 0-30 /  Texture : Sable</t>
  </si>
  <si>
    <t>Prof. : 0-40 /  Texture : Sable</t>
  </si>
  <si>
    <t>Prof. : 0-20 /  Texture : Limon-argileux fin</t>
  </si>
  <si>
    <t>Prof. : 0-40 /  Texture : Sable-limoneux</t>
  </si>
  <si>
    <t>Prof. : 0-30 /  Texture : Sable-limoneux</t>
  </si>
  <si>
    <t>Prof. : 0-30 /  Texture : Limon</t>
  </si>
  <si>
    <t>kirchaou</t>
  </si>
  <si>
    <t>gheryeni</t>
  </si>
  <si>
    <t>mdayna</t>
  </si>
  <si>
    <t>wled yahya1</t>
  </si>
  <si>
    <t>wled yahya2</t>
  </si>
  <si>
    <t xml:space="preserve">bassatine </t>
  </si>
  <si>
    <t>garaa</t>
  </si>
  <si>
    <t>galb rgham</t>
  </si>
  <si>
    <t>maouna</t>
  </si>
  <si>
    <t>smar</t>
  </si>
  <si>
    <t>bessyouf</t>
  </si>
  <si>
    <t xml:space="preserve"> ferch</t>
  </si>
  <si>
    <t xml:space="preserve"> shal roumen</t>
  </si>
  <si>
    <t>bir 30</t>
  </si>
  <si>
    <t>maztouria</t>
  </si>
  <si>
    <t>farch</t>
  </si>
  <si>
    <t>tlalet</t>
  </si>
  <si>
    <t xml:space="preserve"> hay talbi</t>
  </si>
  <si>
    <t xml:space="preserve"> guermessa</t>
  </si>
  <si>
    <t>nekrif</t>
  </si>
  <si>
    <t>samna</t>
  </si>
  <si>
    <t>omzitouna</t>
  </si>
  <si>
    <t xml:space="preserve"> brigua</t>
  </si>
  <si>
    <t xml:space="preserve"> kambout</t>
  </si>
  <si>
    <t xml:space="preserve"> ghermassa</t>
  </si>
  <si>
    <t>Bir Lahmar</t>
  </si>
  <si>
    <t xml:space="preserve">Dhibat </t>
  </si>
  <si>
    <t>Ghomrassen</t>
  </si>
  <si>
    <t>Remada</t>
  </si>
  <si>
    <t xml:space="preserve">Smar </t>
  </si>
  <si>
    <t xml:space="preserve">Tataouine Nord </t>
  </si>
  <si>
    <t>Tataouine 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</si>
</sst>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family val="2"/>
    </font>
    <font>
      <sz val="9"/>
      <name val="Arial"/>
      <charset val="1"/>
    </font>
    <font>
      <sz val="11"/>
      <color theme="1"/>
      <name val="FreeSans"/>
      <family val="2"/>
    </font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i/>
      <sz val="10"/>
      <color indexed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64" fontId="3" fillId="0" borderId="0" xfId="0" applyNumberFormat="1" applyFont="1" applyAlignment="1">
      <alignment horizontal="center" vertical="center"/>
    </xf>
    <xf numFmtId="0" fontId="5" fillId="0" borderId="0" xfId="1"/>
    <xf numFmtId="0" fontId="7" fillId="0" borderId="0" xfId="1" applyFont="1"/>
    <xf numFmtId="0" fontId="3" fillId="0" borderId="0" xfId="1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/>
    </xf>
    <xf numFmtId="0" fontId="6" fillId="0" borderId="0" xfId="1" applyFont="1" applyBorder="1"/>
    <xf numFmtId="0" fontId="7" fillId="0" borderId="0" xfId="1" applyFont="1" applyBorder="1"/>
    <xf numFmtId="0" fontId="3" fillId="0" borderId="0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rightToLeft="1" zoomScaleNormal="100" workbookViewId="0">
      <selection activeCell="A12" sqref="A12"/>
    </sheetView>
  </sheetViews>
  <sheetFormatPr baseColWidth="10" defaultColWidth="8.7109375" defaultRowHeight="15"/>
  <cols>
    <col min="1" max="1" width="45" style="5" customWidth="1"/>
    <col min="2" max="2" width="14" style="5" customWidth="1"/>
    <col min="3" max="3" width="60" style="5" customWidth="1"/>
    <col min="4" max="16384" width="8.7109375" style="5"/>
  </cols>
  <sheetData>
    <row r="1" spans="1:3" ht="16.5" customHeight="1">
      <c r="A1" s="16" t="s">
        <v>17</v>
      </c>
      <c r="B1" s="16"/>
      <c r="C1" s="16"/>
    </row>
    <row r="3" spans="1:3">
      <c r="A3" s="6" t="s">
        <v>18</v>
      </c>
      <c r="B3" s="7">
        <v>480</v>
      </c>
    </row>
    <row r="4" spans="1:3">
      <c r="A4" s="6" t="s">
        <v>19</v>
      </c>
      <c r="B4" s="7">
        <v>480</v>
      </c>
    </row>
    <row r="5" spans="1:3">
      <c r="A5" s="6" t="s">
        <v>20</v>
      </c>
      <c r="B5" s="7">
        <v>0</v>
      </c>
    </row>
    <row r="6" spans="1:3">
      <c r="A6" s="6" t="s">
        <v>21</v>
      </c>
      <c r="B6" s="7">
        <v>100</v>
      </c>
    </row>
    <row r="7" spans="1:3">
      <c r="A7" s="6" t="s">
        <v>22</v>
      </c>
      <c r="B7" s="7">
        <v>1334.1</v>
      </c>
    </row>
    <row r="8" spans="1:3">
      <c r="A8" s="6"/>
      <c r="B8" s="7"/>
    </row>
    <row r="9" spans="1:3">
      <c r="A9" s="6"/>
      <c r="B9" s="7"/>
    </row>
    <row r="10" spans="1:3">
      <c r="A10" s="17" t="s">
        <v>23</v>
      </c>
      <c r="B10" s="17"/>
      <c r="C10" s="17"/>
    </row>
    <row r="11" spans="1:3" ht="30" customHeight="1">
      <c r="A11" s="18" t="s">
        <v>24</v>
      </c>
      <c r="B11" s="18"/>
      <c r="C11" s="18"/>
    </row>
  </sheetData>
  <mergeCells count="3">
    <mergeCell ref="A1:C1"/>
    <mergeCell ref="A10:C10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81"/>
  <sheetViews>
    <sheetView rightToLeft="1" tabSelected="1" topLeftCell="C15" workbookViewId="0">
      <selection activeCell="C23" sqref="C23"/>
    </sheetView>
  </sheetViews>
  <sheetFormatPr baseColWidth="10" defaultColWidth="34.140625" defaultRowHeight="15"/>
  <cols>
    <col min="1" max="1" width="10.28515625" bestFit="1" customWidth="1"/>
    <col min="2" max="2" width="44.140625" bestFit="1" customWidth="1"/>
    <col min="3" max="3" width="22.28515625" bestFit="1" customWidth="1"/>
    <col min="4" max="4" width="12" bestFit="1" customWidth="1"/>
    <col min="5" max="5" width="17.7109375" bestFit="1" customWidth="1"/>
    <col min="6" max="6" width="10.28515625" bestFit="1" customWidth="1"/>
    <col min="7" max="7" width="7.42578125" bestFit="1" customWidth="1"/>
    <col min="8" max="8" width="17.42578125" bestFit="1" customWidth="1"/>
    <col min="9" max="9" width="19.140625" bestFit="1" customWidth="1"/>
    <col min="10" max="10" width="12.85546875" bestFit="1" customWidth="1"/>
    <col min="11" max="11" width="29.5703125" bestFit="1" customWidth="1"/>
    <col min="12" max="12" width="27" bestFit="1" customWidth="1"/>
    <col min="13" max="13" width="9" customWidth="1"/>
    <col min="14" max="14" width="13.5703125" hidden="1" customWidth="1"/>
    <col min="15" max="15" width="12" customWidth="1"/>
    <col min="16" max="16" width="49.85546875" customWidth="1"/>
    <col min="17" max="17" width="24.85546875" bestFit="1" customWidth="1"/>
  </cols>
  <sheetData>
    <row r="1" spans="1:17" ht="25.5">
      <c r="A1" s="1" t="s">
        <v>0</v>
      </c>
      <c r="B1" s="1" t="s">
        <v>1</v>
      </c>
      <c r="C1" s="10" t="s">
        <v>2</v>
      </c>
      <c r="D1" s="10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10" t="s">
        <v>13</v>
      </c>
      <c r="O1" s="1" t="s">
        <v>14</v>
      </c>
      <c r="P1" s="1" t="s">
        <v>15</v>
      </c>
      <c r="Q1" s="10" t="s">
        <v>16</v>
      </c>
    </row>
    <row r="2" spans="1:17">
      <c r="A2" s="2"/>
      <c r="B2" s="8" t="s">
        <v>25</v>
      </c>
      <c r="C2" s="13" t="s">
        <v>157</v>
      </c>
      <c r="D2" s="13">
        <v>246</v>
      </c>
      <c r="E2" s="13" t="s">
        <v>36</v>
      </c>
      <c r="F2" s="9" t="s">
        <v>137</v>
      </c>
      <c r="G2" s="2"/>
      <c r="H2">
        <v>33.214606000000003</v>
      </c>
      <c r="I2">
        <v>10.46345</v>
      </c>
      <c r="J2" s="3" t="s">
        <v>68</v>
      </c>
      <c r="K2" s="2" t="s">
        <v>70</v>
      </c>
      <c r="L2" s="8" t="s">
        <v>79</v>
      </c>
      <c r="M2" s="13"/>
      <c r="N2" s="13" t="s">
        <v>115</v>
      </c>
      <c r="O2" s="9"/>
      <c r="P2" s="8" t="s">
        <v>121</v>
      </c>
      <c r="Q2" s="15">
        <v>92</v>
      </c>
    </row>
    <row r="3" spans="1:17">
      <c r="A3" s="2"/>
      <c r="B3" s="8" t="s">
        <v>25</v>
      </c>
      <c r="C3" s="13" t="s">
        <v>157</v>
      </c>
      <c r="D3" s="13">
        <v>243</v>
      </c>
      <c r="E3" s="13" t="s">
        <v>37</v>
      </c>
      <c r="F3" s="9" t="s">
        <v>137</v>
      </c>
      <c r="G3" s="2"/>
      <c r="H3">
        <v>33.214903999999997</v>
      </c>
      <c r="I3">
        <v>10.461073000000001</v>
      </c>
      <c r="J3" s="3" t="s">
        <v>68</v>
      </c>
      <c r="K3" s="2" t="s">
        <v>70</v>
      </c>
      <c r="L3" s="8" t="s">
        <v>80</v>
      </c>
      <c r="M3" s="13">
        <v>4</v>
      </c>
      <c r="N3" s="13" t="s">
        <v>115</v>
      </c>
      <c r="O3" s="9"/>
      <c r="P3" s="8" t="s">
        <v>121</v>
      </c>
      <c r="Q3" s="15">
        <v>1266</v>
      </c>
    </row>
    <row r="4" spans="1:17">
      <c r="A4" s="2"/>
      <c r="B4" s="8" t="s">
        <v>25</v>
      </c>
      <c r="C4" s="13" t="s">
        <v>157</v>
      </c>
      <c r="D4" s="13">
        <v>247</v>
      </c>
      <c r="E4" s="13" t="s">
        <v>32</v>
      </c>
      <c r="F4" s="9" t="s">
        <v>134</v>
      </c>
      <c r="G4" s="2"/>
      <c r="H4">
        <v>33.157164999999999</v>
      </c>
      <c r="I4">
        <v>10.453037999999999</v>
      </c>
      <c r="J4" s="3" t="s">
        <v>68</v>
      </c>
      <c r="K4" s="2" t="s">
        <v>70</v>
      </c>
      <c r="L4" s="8" t="s">
        <v>75</v>
      </c>
      <c r="M4" s="13">
        <v>2.5</v>
      </c>
      <c r="N4" s="13" t="s">
        <v>115</v>
      </c>
      <c r="O4" s="9"/>
      <c r="P4" s="8" t="s">
        <v>118</v>
      </c>
      <c r="Q4" s="15">
        <v>450</v>
      </c>
    </row>
    <row r="5" spans="1:17">
      <c r="A5" s="2"/>
      <c r="B5" s="8" t="s">
        <v>25</v>
      </c>
      <c r="C5" s="13" t="s">
        <v>157</v>
      </c>
      <c r="D5" s="13">
        <v>244</v>
      </c>
      <c r="E5" s="13" t="s">
        <v>33</v>
      </c>
      <c r="F5" s="9" t="s">
        <v>135</v>
      </c>
      <c r="G5" s="2"/>
      <c r="H5">
        <v>33.175303999999997</v>
      </c>
      <c r="I5">
        <v>10.470549999999999</v>
      </c>
      <c r="J5" s="3" t="s">
        <v>68</v>
      </c>
      <c r="K5" s="2" t="s">
        <v>70</v>
      </c>
      <c r="L5" s="8" t="s">
        <v>76</v>
      </c>
      <c r="M5" s="13">
        <v>1.5</v>
      </c>
      <c r="N5" s="13" t="s">
        <v>115</v>
      </c>
      <c r="O5" s="9"/>
      <c r="P5" s="8" t="s">
        <v>119</v>
      </c>
      <c r="Q5" s="15">
        <v>1156</v>
      </c>
    </row>
    <row r="6" spans="1:17">
      <c r="A6" s="2"/>
      <c r="B6" s="8" t="s">
        <v>25</v>
      </c>
      <c r="C6" s="13" t="s">
        <v>157</v>
      </c>
      <c r="D6" s="13">
        <v>248</v>
      </c>
      <c r="E6" s="13" t="s">
        <v>34</v>
      </c>
      <c r="F6" s="9" t="s">
        <v>136</v>
      </c>
      <c r="G6" s="2"/>
      <c r="H6">
        <v>33.185437999999998</v>
      </c>
      <c r="I6">
        <v>10.503990999999999</v>
      </c>
      <c r="J6" s="3" t="s">
        <v>68</v>
      </c>
      <c r="K6" s="2" t="s">
        <v>70</v>
      </c>
      <c r="L6" s="8" t="s">
        <v>77</v>
      </c>
      <c r="M6" s="13">
        <v>20</v>
      </c>
      <c r="N6" s="13" t="s">
        <v>115</v>
      </c>
      <c r="O6" s="9"/>
      <c r="P6" s="8" t="s">
        <v>120</v>
      </c>
      <c r="Q6" s="15">
        <v>364</v>
      </c>
    </row>
    <row r="7" spans="1:17" ht="24">
      <c r="A7" s="2"/>
      <c r="B7" s="8" t="s">
        <v>25</v>
      </c>
      <c r="C7" s="13" t="s">
        <v>157</v>
      </c>
      <c r="D7" s="13">
        <v>249</v>
      </c>
      <c r="E7" s="13" t="s">
        <v>35</v>
      </c>
      <c r="F7" s="9" t="s">
        <v>136</v>
      </c>
      <c r="G7" s="2"/>
      <c r="H7">
        <v>33.188532000000002</v>
      </c>
      <c r="I7">
        <v>10.483696</v>
      </c>
      <c r="J7" s="3" t="s">
        <v>68</v>
      </c>
      <c r="K7" s="2" t="s">
        <v>70</v>
      </c>
      <c r="L7" s="8" t="s">
        <v>78</v>
      </c>
      <c r="M7" s="13">
        <v>3.5</v>
      </c>
      <c r="N7" s="13" t="s">
        <v>115</v>
      </c>
      <c r="O7" s="9"/>
      <c r="P7" s="8" t="s">
        <v>121</v>
      </c>
      <c r="Q7" s="15">
        <v>1082</v>
      </c>
    </row>
    <row r="8" spans="1:17" ht="24">
      <c r="A8" s="2"/>
      <c r="B8" s="8" t="s">
        <v>25</v>
      </c>
      <c r="C8" s="13" t="s">
        <v>157</v>
      </c>
      <c r="D8" s="13">
        <v>245</v>
      </c>
      <c r="E8" s="13" t="s">
        <v>38</v>
      </c>
      <c r="F8" s="9" t="s">
        <v>138</v>
      </c>
      <c r="G8" s="2"/>
      <c r="H8">
        <v>33.156244000000001</v>
      </c>
      <c r="I8">
        <v>10.462362000000001</v>
      </c>
      <c r="J8" s="3" t="s">
        <v>68</v>
      </c>
      <c r="K8" s="2" t="s">
        <v>70</v>
      </c>
      <c r="L8" s="8" t="s">
        <v>81</v>
      </c>
      <c r="M8" s="13">
        <v>1</v>
      </c>
      <c r="N8" s="13" t="s">
        <v>115</v>
      </c>
      <c r="O8" s="9"/>
      <c r="P8" s="8" t="s">
        <v>122</v>
      </c>
      <c r="Q8" s="15">
        <v>2426</v>
      </c>
    </row>
    <row r="9" spans="1:17" ht="24">
      <c r="A9" s="2"/>
      <c r="B9" s="8" t="s">
        <v>25</v>
      </c>
      <c r="C9" s="12" t="s">
        <v>26</v>
      </c>
      <c r="D9" s="12" t="s">
        <v>27</v>
      </c>
      <c r="E9" s="12" t="s">
        <v>28</v>
      </c>
      <c r="F9" s="9"/>
      <c r="G9" s="2"/>
      <c r="H9">
        <v>35.678100000000001</v>
      </c>
      <c r="I9">
        <v>10.096299999999999</v>
      </c>
      <c r="J9" s="3" t="s">
        <v>68</v>
      </c>
      <c r="K9" s="2" t="s">
        <v>69</v>
      </c>
      <c r="L9" s="8" t="s">
        <v>71</v>
      </c>
      <c r="M9" s="12"/>
      <c r="N9" s="12" t="s">
        <v>114</v>
      </c>
      <c r="O9" s="9"/>
      <c r="P9" s="8" t="s">
        <v>116</v>
      </c>
      <c r="Q9" s="14">
        <v>9</v>
      </c>
    </row>
    <row r="10" spans="1:17">
      <c r="A10" s="2"/>
      <c r="B10" s="8" t="s">
        <v>25</v>
      </c>
      <c r="C10" s="13" t="s">
        <v>158</v>
      </c>
      <c r="D10" s="13">
        <v>270</v>
      </c>
      <c r="E10" s="13" t="s">
        <v>48</v>
      </c>
      <c r="F10" s="9" t="s">
        <v>144</v>
      </c>
      <c r="G10" s="2"/>
      <c r="H10">
        <v>32.052128000000003</v>
      </c>
      <c r="I10">
        <v>10.751905000000001</v>
      </c>
      <c r="J10" s="3" t="s">
        <v>68</v>
      </c>
      <c r="K10" s="2" t="s">
        <v>70</v>
      </c>
      <c r="L10" s="8" t="s">
        <v>91</v>
      </c>
      <c r="M10" s="13">
        <v>2.5</v>
      </c>
      <c r="N10" s="13" t="s">
        <v>115</v>
      </c>
      <c r="O10" s="9"/>
      <c r="P10" s="8" t="s">
        <v>125</v>
      </c>
      <c r="Q10" s="15">
        <v>412</v>
      </c>
    </row>
    <row r="11" spans="1:17">
      <c r="A11" s="2"/>
      <c r="B11" s="8" t="s">
        <v>25</v>
      </c>
      <c r="C11" s="13" t="s">
        <v>158</v>
      </c>
      <c r="D11" s="13">
        <v>267</v>
      </c>
      <c r="E11" s="13" t="s">
        <v>49</v>
      </c>
      <c r="F11" s="9" t="s">
        <v>144</v>
      </c>
      <c r="G11" s="2"/>
      <c r="H11">
        <v>32.045436000000002</v>
      </c>
      <c r="I11">
        <v>10.746651999999999</v>
      </c>
      <c r="J11" s="3" t="s">
        <v>68</v>
      </c>
      <c r="K11" s="2" t="s">
        <v>70</v>
      </c>
      <c r="L11" s="8" t="s">
        <v>92</v>
      </c>
      <c r="M11" s="13">
        <v>3</v>
      </c>
      <c r="N11" s="13" t="s">
        <v>115</v>
      </c>
      <c r="O11" s="9"/>
      <c r="P11" s="8" t="s">
        <v>126</v>
      </c>
      <c r="Q11" s="15">
        <v>664</v>
      </c>
    </row>
    <row r="12" spans="1:17">
      <c r="A12" s="2"/>
      <c r="B12" s="8" t="s">
        <v>25</v>
      </c>
      <c r="C12" s="13" t="s">
        <v>158</v>
      </c>
      <c r="D12" s="13">
        <v>268</v>
      </c>
      <c r="E12" s="13" t="s">
        <v>50</v>
      </c>
      <c r="F12" s="9" t="s">
        <v>144</v>
      </c>
      <c r="G12" s="2"/>
      <c r="H12">
        <v>32.089596</v>
      </c>
      <c r="I12">
        <v>10.774615000000001</v>
      </c>
      <c r="J12" s="3" t="s">
        <v>68</v>
      </c>
      <c r="K12" s="2" t="s">
        <v>70</v>
      </c>
      <c r="L12" s="8" t="s">
        <v>93</v>
      </c>
      <c r="M12" s="13">
        <v>6</v>
      </c>
      <c r="N12" s="13" t="s">
        <v>115</v>
      </c>
      <c r="O12" s="9"/>
      <c r="P12" s="8" t="s">
        <v>127</v>
      </c>
      <c r="Q12" s="15">
        <v>592</v>
      </c>
    </row>
    <row r="13" spans="1:17">
      <c r="A13" s="2"/>
      <c r="B13" s="8" t="s">
        <v>25</v>
      </c>
      <c r="C13" s="13" t="s">
        <v>158</v>
      </c>
      <c r="D13" s="13">
        <v>265</v>
      </c>
      <c r="E13" s="13" t="s">
        <v>51</v>
      </c>
      <c r="F13" s="9" t="s">
        <v>144</v>
      </c>
      <c r="G13" s="2"/>
      <c r="H13">
        <v>32.054853999999999</v>
      </c>
      <c r="I13">
        <v>10.761542</v>
      </c>
      <c r="J13" s="3" t="s">
        <v>68</v>
      </c>
      <c r="K13" s="2" t="s">
        <v>70</v>
      </c>
      <c r="L13" s="8" t="s">
        <v>94</v>
      </c>
      <c r="M13" s="13">
        <v>6</v>
      </c>
      <c r="N13" s="13" t="s">
        <v>115</v>
      </c>
      <c r="O13" s="9"/>
      <c r="P13" s="8" t="s">
        <v>128</v>
      </c>
      <c r="Q13" s="15">
        <v>836</v>
      </c>
    </row>
    <row r="14" spans="1:17">
      <c r="A14" s="2"/>
      <c r="B14" s="8" t="s">
        <v>25</v>
      </c>
      <c r="C14" s="13" t="s">
        <v>158</v>
      </c>
      <c r="D14" s="13">
        <v>266</v>
      </c>
      <c r="E14" s="13" t="s">
        <v>52</v>
      </c>
      <c r="F14" s="9" t="s">
        <v>144</v>
      </c>
      <c r="G14" s="2"/>
      <c r="H14">
        <v>32.083081999999997</v>
      </c>
      <c r="I14">
        <v>10.766363</v>
      </c>
      <c r="J14" s="3" t="s">
        <v>68</v>
      </c>
      <c r="K14" s="2" t="s">
        <v>70</v>
      </c>
      <c r="L14" s="8" t="s">
        <v>95</v>
      </c>
      <c r="M14" s="13">
        <v>6</v>
      </c>
      <c r="N14" s="13" t="s">
        <v>115</v>
      </c>
      <c r="O14" s="9"/>
      <c r="P14" s="8" t="s">
        <v>125</v>
      </c>
      <c r="Q14" s="15">
        <v>714</v>
      </c>
    </row>
    <row r="15" spans="1:17">
      <c r="A15" s="2"/>
      <c r="B15" s="8" t="s">
        <v>25</v>
      </c>
      <c r="C15" s="13" t="s">
        <v>158</v>
      </c>
      <c r="D15" s="13">
        <v>271</v>
      </c>
      <c r="E15" s="13" t="s">
        <v>48</v>
      </c>
      <c r="F15" s="9" t="s">
        <v>144</v>
      </c>
      <c r="G15" s="2"/>
      <c r="H15">
        <v>32.051568000000003</v>
      </c>
      <c r="I15">
        <v>10.750666000000001</v>
      </c>
      <c r="J15" s="3" t="s">
        <v>68</v>
      </c>
      <c r="K15" s="2" t="s">
        <v>70</v>
      </c>
      <c r="L15" s="8" t="s">
        <v>96</v>
      </c>
      <c r="M15" s="13">
        <f>-M35</f>
        <v>-16</v>
      </c>
      <c r="N15" s="13" t="s">
        <v>115</v>
      </c>
      <c r="O15" s="9"/>
      <c r="P15" s="8" t="s">
        <v>126</v>
      </c>
      <c r="Q15" s="15">
        <v>352</v>
      </c>
    </row>
    <row r="16" spans="1:17">
      <c r="A16" s="2"/>
      <c r="B16" s="8" t="s">
        <v>25</v>
      </c>
      <c r="C16" s="13" t="s">
        <v>159</v>
      </c>
      <c r="D16" s="13">
        <v>272</v>
      </c>
      <c r="E16" s="13" t="s">
        <v>59</v>
      </c>
      <c r="F16" s="9" t="s">
        <v>149</v>
      </c>
      <c r="G16" s="2"/>
      <c r="H16">
        <v>33.063229999999997</v>
      </c>
      <c r="I16">
        <v>10.456312</v>
      </c>
      <c r="J16" s="3" t="s">
        <v>68</v>
      </c>
      <c r="K16" s="2" t="s">
        <v>70</v>
      </c>
      <c r="L16" s="8" t="s">
        <v>103</v>
      </c>
      <c r="M16" s="13">
        <v>4</v>
      </c>
      <c r="N16" s="13" t="s">
        <v>115</v>
      </c>
      <c r="O16" s="9"/>
      <c r="P16" s="8" t="s">
        <v>120</v>
      </c>
      <c r="Q16" s="15">
        <v>356</v>
      </c>
    </row>
    <row r="17" spans="1:17">
      <c r="A17" s="2"/>
      <c r="B17" s="8" t="s">
        <v>25</v>
      </c>
      <c r="C17" s="13" t="s">
        <v>159</v>
      </c>
      <c r="D17" s="13">
        <v>259</v>
      </c>
      <c r="E17" s="13" t="s">
        <v>60</v>
      </c>
      <c r="F17" s="9" t="s">
        <v>150</v>
      </c>
      <c r="G17" s="2"/>
      <c r="H17">
        <v>33.009498999999998</v>
      </c>
      <c r="I17">
        <v>10.2639</v>
      </c>
      <c r="J17" s="3" t="s">
        <v>68</v>
      </c>
      <c r="K17" s="2" t="s">
        <v>70</v>
      </c>
      <c r="L17" s="8" t="s">
        <v>104</v>
      </c>
      <c r="M17" s="13">
        <v>6.3</v>
      </c>
      <c r="N17" s="13" t="s">
        <v>115</v>
      </c>
      <c r="O17" s="9"/>
      <c r="P17" s="8" t="s">
        <v>121</v>
      </c>
      <c r="Q17" s="15">
        <v>1210</v>
      </c>
    </row>
    <row r="18" spans="1:17">
      <c r="A18" s="2"/>
      <c r="B18" s="8" t="s">
        <v>25</v>
      </c>
      <c r="C18" s="13" t="s">
        <v>159</v>
      </c>
      <c r="D18" s="13">
        <v>280</v>
      </c>
      <c r="E18" s="13" t="s">
        <v>59</v>
      </c>
      <c r="F18" s="9" t="s">
        <v>149</v>
      </c>
      <c r="G18" s="2"/>
      <c r="H18">
        <v>33.063687000000002</v>
      </c>
      <c r="I18">
        <v>10.458076</v>
      </c>
      <c r="J18" s="3" t="s">
        <v>68</v>
      </c>
      <c r="K18" s="2" t="s">
        <v>70</v>
      </c>
      <c r="L18" s="8" t="s">
        <v>112</v>
      </c>
      <c r="M18" s="13">
        <v>4</v>
      </c>
      <c r="N18" s="13" t="s">
        <v>115</v>
      </c>
      <c r="O18" s="9"/>
      <c r="P18" s="8" t="s">
        <v>130</v>
      </c>
      <c r="Q18" s="15">
        <v>578</v>
      </c>
    </row>
    <row r="19" spans="1:17">
      <c r="A19" s="2"/>
      <c r="B19" s="8" t="s">
        <v>25</v>
      </c>
      <c r="C19" s="13" t="s">
        <v>159</v>
      </c>
      <c r="D19" s="13">
        <v>281</v>
      </c>
      <c r="E19" s="13" t="s">
        <v>60</v>
      </c>
      <c r="F19" s="9" t="s">
        <v>156</v>
      </c>
      <c r="G19" s="2"/>
      <c r="H19">
        <v>33.008175000000001</v>
      </c>
      <c r="I19">
        <v>10.265433</v>
      </c>
      <c r="J19" s="3" t="s">
        <v>68</v>
      </c>
      <c r="K19" s="2" t="s">
        <v>70</v>
      </c>
      <c r="L19" s="8" t="s">
        <v>113</v>
      </c>
      <c r="M19" s="13">
        <v>0</v>
      </c>
      <c r="N19" s="13" t="s">
        <v>115</v>
      </c>
      <c r="O19" s="9"/>
      <c r="P19" s="8" t="s">
        <v>130</v>
      </c>
      <c r="Q19" s="15">
        <v>3850</v>
      </c>
    </row>
    <row r="20" spans="1:17">
      <c r="A20" s="2"/>
      <c r="B20" s="8" t="s">
        <v>25</v>
      </c>
      <c r="C20" s="13" t="s">
        <v>160</v>
      </c>
      <c r="D20" s="13">
        <v>277</v>
      </c>
      <c r="E20" s="13" t="s">
        <v>61</v>
      </c>
      <c r="F20" s="9" t="s">
        <v>151</v>
      </c>
      <c r="G20" s="2"/>
      <c r="H20">
        <v>32.210358999999997</v>
      </c>
      <c r="I20">
        <v>10.450176000000001</v>
      </c>
      <c r="J20" s="3" t="s">
        <v>68</v>
      </c>
      <c r="K20" s="2" t="s">
        <v>70</v>
      </c>
      <c r="L20" s="8" t="s">
        <v>105</v>
      </c>
      <c r="M20" s="13">
        <v>4</v>
      </c>
      <c r="N20" s="13" t="s">
        <v>115</v>
      </c>
      <c r="O20" s="9"/>
      <c r="P20" s="8" t="s">
        <v>130</v>
      </c>
      <c r="Q20" s="15">
        <v>622</v>
      </c>
    </row>
    <row r="21" spans="1:17">
      <c r="A21" s="2"/>
      <c r="B21" s="8" t="s">
        <v>25</v>
      </c>
      <c r="C21" s="13" t="s">
        <v>160</v>
      </c>
      <c r="D21" s="13">
        <v>276</v>
      </c>
      <c r="E21" s="13" t="s">
        <v>62</v>
      </c>
      <c r="F21" s="9" t="s">
        <v>151</v>
      </c>
      <c r="G21" s="2"/>
      <c r="H21">
        <v>32.187907000000003</v>
      </c>
      <c r="I21">
        <v>10.451729</v>
      </c>
      <c r="J21" s="3" t="s">
        <v>68</v>
      </c>
      <c r="K21" s="2" t="s">
        <v>70</v>
      </c>
      <c r="L21" s="8" t="s">
        <v>106</v>
      </c>
      <c r="M21" s="13">
        <v>2</v>
      </c>
      <c r="N21" s="13" t="s">
        <v>115</v>
      </c>
      <c r="O21" s="9"/>
      <c r="P21" s="8" t="s">
        <v>129</v>
      </c>
      <c r="Q21" s="15">
        <v>734</v>
      </c>
    </row>
    <row r="22" spans="1:17" ht="24">
      <c r="A22" s="2"/>
      <c r="B22" s="8" t="s">
        <v>25</v>
      </c>
      <c r="C22" s="13" t="s">
        <v>160</v>
      </c>
      <c r="D22" s="13">
        <v>275</v>
      </c>
      <c r="E22" s="13" t="s">
        <v>63</v>
      </c>
      <c r="F22" s="9" t="s">
        <v>151</v>
      </c>
      <c r="G22" s="2"/>
      <c r="H22">
        <v>32.239846999999997</v>
      </c>
      <c r="I22">
        <v>10.431912000000001</v>
      </c>
      <c r="J22" s="3" t="s">
        <v>68</v>
      </c>
      <c r="K22" s="2" t="s">
        <v>70</v>
      </c>
      <c r="L22" s="8" t="s">
        <v>107</v>
      </c>
      <c r="M22" s="13">
        <v>6</v>
      </c>
      <c r="N22" s="13" t="s">
        <v>115</v>
      </c>
      <c r="O22" s="9"/>
      <c r="P22" s="8" t="s">
        <v>127</v>
      </c>
      <c r="Q22" s="15">
        <v>290</v>
      </c>
    </row>
    <row r="23" spans="1:17" ht="24">
      <c r="A23" s="2"/>
      <c r="B23" s="8" t="s">
        <v>25</v>
      </c>
      <c r="C23" s="13" t="s">
        <v>160</v>
      </c>
      <c r="D23" s="13">
        <v>273</v>
      </c>
      <c r="E23" s="13" t="s">
        <v>64</v>
      </c>
      <c r="F23" s="9" t="s">
        <v>152</v>
      </c>
      <c r="G23" s="2"/>
      <c r="H23">
        <v>32.275875999999997</v>
      </c>
      <c r="I23">
        <v>10.393724000000001</v>
      </c>
      <c r="J23" s="3" t="s">
        <v>68</v>
      </c>
      <c r="K23" s="2" t="s">
        <v>70</v>
      </c>
      <c r="L23" s="8" t="s">
        <v>108</v>
      </c>
      <c r="M23" s="13">
        <v>4</v>
      </c>
      <c r="N23" s="13" t="s">
        <v>115</v>
      </c>
      <c r="O23" s="9"/>
      <c r="P23" s="8" t="s">
        <v>131</v>
      </c>
      <c r="Q23" s="15">
        <v>298</v>
      </c>
    </row>
    <row r="24" spans="1:17" ht="24">
      <c r="A24" s="2"/>
      <c r="B24" s="8" t="s">
        <v>25</v>
      </c>
      <c r="C24" s="13" t="s">
        <v>160</v>
      </c>
      <c r="D24" s="13">
        <v>274</v>
      </c>
      <c r="E24" s="13" t="s">
        <v>65</v>
      </c>
      <c r="F24" s="9" t="s">
        <v>153</v>
      </c>
      <c r="G24" s="2"/>
      <c r="H24">
        <v>32.621428999999999</v>
      </c>
      <c r="I24">
        <v>10.113035</v>
      </c>
      <c r="J24" s="3" t="s">
        <v>68</v>
      </c>
      <c r="K24" s="2" t="s">
        <v>70</v>
      </c>
      <c r="L24" s="8" t="s">
        <v>109</v>
      </c>
      <c r="M24" s="13">
        <v>12</v>
      </c>
      <c r="N24" s="13" t="s">
        <v>115</v>
      </c>
      <c r="O24" s="9"/>
      <c r="P24" s="8" t="s">
        <v>130</v>
      </c>
      <c r="Q24" s="15">
        <v>220</v>
      </c>
    </row>
    <row r="25" spans="1:17" ht="24">
      <c r="A25" s="2"/>
      <c r="B25" s="8" t="s">
        <v>25</v>
      </c>
      <c r="C25" s="13" t="s">
        <v>160</v>
      </c>
      <c r="D25" s="13">
        <v>278</v>
      </c>
      <c r="E25" s="13" t="s">
        <v>66</v>
      </c>
      <c r="F25" s="9" t="s">
        <v>154</v>
      </c>
      <c r="G25" s="2"/>
      <c r="H25">
        <v>32.387853</v>
      </c>
      <c r="I25">
        <v>10.287698000000001</v>
      </c>
      <c r="J25" s="3" t="s">
        <v>68</v>
      </c>
      <c r="K25" s="2" t="s">
        <v>70</v>
      </c>
      <c r="L25" s="8" t="s">
        <v>110</v>
      </c>
      <c r="M25" s="13">
        <v>6</v>
      </c>
      <c r="N25" s="13" t="s">
        <v>115</v>
      </c>
      <c r="O25" s="9"/>
      <c r="P25" s="8" t="s">
        <v>126</v>
      </c>
      <c r="Q25" s="15">
        <v>138</v>
      </c>
    </row>
    <row r="26" spans="1:17" ht="24">
      <c r="A26" s="2"/>
      <c r="B26" s="8" t="s">
        <v>25</v>
      </c>
      <c r="C26" s="13" t="s">
        <v>160</v>
      </c>
      <c r="D26" s="13">
        <v>279</v>
      </c>
      <c r="E26" s="13" t="s">
        <v>67</v>
      </c>
      <c r="F26" s="9" t="s">
        <v>155</v>
      </c>
      <c r="G26" s="2"/>
      <c r="H26">
        <v>32.307375999999998</v>
      </c>
      <c r="I26">
        <v>10.306761</v>
      </c>
      <c r="J26" s="3" t="s">
        <v>68</v>
      </c>
      <c r="K26" s="2" t="s">
        <v>70</v>
      </c>
      <c r="L26" s="8" t="s">
        <v>111</v>
      </c>
      <c r="M26" s="13">
        <v>6</v>
      </c>
      <c r="N26" s="13" t="s">
        <v>115</v>
      </c>
      <c r="O26" s="9"/>
      <c r="P26" s="8" t="s">
        <v>127</v>
      </c>
      <c r="Q26" s="15">
        <v>86</v>
      </c>
    </row>
    <row r="27" spans="1:17" ht="24">
      <c r="A27" s="2"/>
      <c r="B27" s="8" t="s">
        <v>25</v>
      </c>
      <c r="C27" s="13" t="s">
        <v>161</v>
      </c>
      <c r="D27" s="13">
        <v>242</v>
      </c>
      <c r="E27" s="13" t="s">
        <v>29</v>
      </c>
      <c r="F27" s="9" t="s">
        <v>132</v>
      </c>
      <c r="G27" s="2"/>
      <c r="H27">
        <v>33.044488999999999</v>
      </c>
      <c r="I27">
        <v>10.820163000000001</v>
      </c>
      <c r="J27" s="3" t="s">
        <v>68</v>
      </c>
      <c r="K27" s="2" t="s">
        <v>70</v>
      </c>
      <c r="L27" s="8" t="s">
        <v>72</v>
      </c>
      <c r="M27" s="13">
        <v>5</v>
      </c>
      <c r="N27" s="13" t="s">
        <v>115</v>
      </c>
      <c r="O27" s="9"/>
      <c r="P27" s="8" t="s">
        <v>117</v>
      </c>
      <c r="Q27" s="15">
        <v>486</v>
      </c>
    </row>
    <row r="28" spans="1:17">
      <c r="A28" s="2"/>
      <c r="B28" s="8" t="s">
        <v>25</v>
      </c>
      <c r="C28" s="13" t="s">
        <v>161</v>
      </c>
      <c r="D28" s="13">
        <v>240</v>
      </c>
      <c r="E28" s="13" t="s">
        <v>30</v>
      </c>
      <c r="F28" s="9" t="s">
        <v>132</v>
      </c>
      <c r="G28" s="2"/>
      <c r="H28">
        <v>33.048952999999997</v>
      </c>
      <c r="I28">
        <v>10.820843999999999</v>
      </c>
      <c r="J28" s="3" t="s">
        <v>68</v>
      </c>
      <c r="K28" s="2" t="s">
        <v>70</v>
      </c>
      <c r="L28" s="8" t="s">
        <v>73</v>
      </c>
      <c r="M28" s="13">
        <v>5</v>
      </c>
      <c r="N28" s="13" t="s">
        <v>115</v>
      </c>
      <c r="O28" s="9"/>
      <c r="P28" s="8" t="s">
        <v>117</v>
      </c>
      <c r="Q28" s="15">
        <v>390</v>
      </c>
    </row>
    <row r="29" spans="1:17">
      <c r="A29" s="2"/>
      <c r="B29" s="8" t="s">
        <v>25</v>
      </c>
      <c r="C29" s="13" t="s">
        <v>161</v>
      </c>
      <c r="D29" s="13">
        <v>241</v>
      </c>
      <c r="E29" s="13" t="s">
        <v>31</v>
      </c>
      <c r="F29" s="9" t="s">
        <v>133</v>
      </c>
      <c r="G29" s="2"/>
      <c r="H29">
        <v>33.007933999999999</v>
      </c>
      <c r="I29">
        <v>10.925001</v>
      </c>
      <c r="J29" s="3" t="s">
        <v>68</v>
      </c>
      <c r="K29" s="2" t="s">
        <v>70</v>
      </c>
      <c r="L29" s="8" t="s">
        <v>74</v>
      </c>
      <c r="M29" s="13">
        <v>5</v>
      </c>
      <c r="N29" s="13" t="s">
        <v>115</v>
      </c>
      <c r="O29" s="9"/>
      <c r="P29" s="8" t="s">
        <v>118</v>
      </c>
      <c r="Q29" s="15">
        <v>384</v>
      </c>
    </row>
    <row r="30" spans="1:17">
      <c r="A30" s="2"/>
      <c r="B30" s="8" t="s">
        <v>25</v>
      </c>
      <c r="C30" s="13" t="s">
        <v>161</v>
      </c>
      <c r="D30" s="13">
        <v>250</v>
      </c>
      <c r="E30" s="13" t="s">
        <v>39</v>
      </c>
      <c r="F30" s="9" t="s">
        <v>132</v>
      </c>
      <c r="G30" s="2"/>
      <c r="H30">
        <v>33.075223999999999</v>
      </c>
      <c r="I30">
        <v>10.805939</v>
      </c>
      <c r="J30" s="3" t="s">
        <v>68</v>
      </c>
      <c r="K30" s="2" t="s">
        <v>70</v>
      </c>
      <c r="L30" s="8" t="s">
        <v>82</v>
      </c>
      <c r="M30" s="13">
        <v>6</v>
      </c>
      <c r="N30" s="13" t="s">
        <v>115</v>
      </c>
      <c r="O30" s="9"/>
      <c r="P30" s="8" t="s">
        <v>121</v>
      </c>
      <c r="Q30" s="15">
        <v>70</v>
      </c>
    </row>
    <row r="31" spans="1:17">
      <c r="A31" s="2"/>
      <c r="B31" s="8" t="s">
        <v>25</v>
      </c>
      <c r="C31" s="13" t="s">
        <v>161</v>
      </c>
      <c r="D31" s="13">
        <v>253</v>
      </c>
      <c r="E31" s="13" t="s">
        <v>40</v>
      </c>
      <c r="F31" s="9" t="s">
        <v>139</v>
      </c>
      <c r="G31" s="2"/>
      <c r="H31">
        <v>32.998435999999998</v>
      </c>
      <c r="I31">
        <v>10.781136999999999</v>
      </c>
      <c r="J31" s="3" t="s">
        <v>68</v>
      </c>
      <c r="K31" s="2" t="s">
        <v>70</v>
      </c>
      <c r="L31" s="8" t="s">
        <v>83</v>
      </c>
      <c r="M31" s="13">
        <v>3</v>
      </c>
      <c r="N31" s="13" t="s">
        <v>115</v>
      </c>
      <c r="O31" s="9"/>
      <c r="P31" s="8" t="s">
        <v>121</v>
      </c>
      <c r="Q31" s="15">
        <v>684</v>
      </c>
    </row>
    <row r="32" spans="1:17">
      <c r="A32" s="2"/>
      <c r="B32" s="8" t="s">
        <v>25</v>
      </c>
      <c r="C32" s="13" t="s">
        <v>161</v>
      </c>
      <c r="D32" s="13">
        <v>251</v>
      </c>
      <c r="E32" s="13" t="s">
        <v>42</v>
      </c>
      <c r="F32" s="9" t="s">
        <v>141</v>
      </c>
      <c r="G32" s="2"/>
      <c r="H32">
        <v>33.002226999999998</v>
      </c>
      <c r="I32">
        <v>10.812241</v>
      </c>
      <c r="J32" s="3" t="s">
        <v>68</v>
      </c>
      <c r="K32" s="2" t="s">
        <v>70</v>
      </c>
      <c r="L32" s="8" t="s">
        <v>85</v>
      </c>
      <c r="M32" s="13">
        <v>2.5</v>
      </c>
      <c r="N32" s="13" t="s">
        <v>115</v>
      </c>
      <c r="O32" s="9"/>
      <c r="P32" s="8" t="s">
        <v>118</v>
      </c>
      <c r="Q32" s="15">
        <v>628</v>
      </c>
    </row>
    <row r="33" spans="1:17">
      <c r="A33" s="2"/>
      <c r="B33" s="8" t="s">
        <v>25</v>
      </c>
      <c r="C33" s="13" t="s">
        <v>162</v>
      </c>
      <c r="D33" s="13">
        <v>254</v>
      </c>
      <c r="E33" s="13" t="s">
        <v>41</v>
      </c>
      <c r="F33" s="9" t="s">
        <v>140</v>
      </c>
      <c r="G33" s="2"/>
      <c r="H33">
        <v>33.057971999999999</v>
      </c>
      <c r="I33">
        <v>10.667291000000001</v>
      </c>
      <c r="J33" s="3" t="s">
        <v>68</v>
      </c>
      <c r="K33" s="2" t="s">
        <v>70</v>
      </c>
      <c r="L33" s="8" t="s">
        <v>84</v>
      </c>
      <c r="M33" s="13">
        <v>2.0129999999999999</v>
      </c>
      <c r="N33" s="13" t="s">
        <v>115</v>
      </c>
      <c r="O33" s="9"/>
      <c r="P33" s="8" t="s">
        <v>123</v>
      </c>
      <c r="Q33" s="15">
        <v>288</v>
      </c>
    </row>
    <row r="34" spans="1:17">
      <c r="A34" s="2"/>
      <c r="B34" s="8" t="s">
        <v>25</v>
      </c>
      <c r="C34" s="13" t="s">
        <v>162</v>
      </c>
      <c r="D34" s="13">
        <v>252</v>
      </c>
      <c r="E34" s="13" t="s">
        <v>43</v>
      </c>
      <c r="F34" s="9" t="s">
        <v>142</v>
      </c>
      <c r="G34" s="2"/>
      <c r="H34">
        <v>32.939087000000001</v>
      </c>
      <c r="I34">
        <v>10.706704</v>
      </c>
      <c r="J34" s="3" t="s">
        <v>68</v>
      </c>
      <c r="K34" s="2" t="s">
        <v>70</v>
      </c>
      <c r="L34" s="8" t="s">
        <v>86</v>
      </c>
      <c r="M34" s="13">
        <v>7</v>
      </c>
      <c r="N34" s="13" t="s">
        <v>115</v>
      </c>
      <c r="O34" s="9"/>
      <c r="P34" s="8" t="s">
        <v>122</v>
      </c>
      <c r="Q34" s="15">
        <v>2298</v>
      </c>
    </row>
    <row r="35" spans="1:17" ht="24">
      <c r="A35" s="2"/>
      <c r="B35" s="8" t="s">
        <v>25</v>
      </c>
      <c r="C35" s="13" t="s">
        <v>163</v>
      </c>
      <c r="D35" s="13">
        <v>269</v>
      </c>
      <c r="E35" s="13" t="s">
        <v>53</v>
      </c>
      <c r="F35" s="9" t="s">
        <v>145</v>
      </c>
      <c r="G35" s="2"/>
      <c r="H35">
        <v>32.662097000000003</v>
      </c>
      <c r="I35">
        <v>10.324235</v>
      </c>
      <c r="J35" s="3" t="s">
        <v>68</v>
      </c>
      <c r="K35" s="2" t="s">
        <v>70</v>
      </c>
      <c r="L35" s="8" t="s">
        <v>97</v>
      </c>
      <c r="M35" s="13">
        <v>16</v>
      </c>
      <c r="N35" s="13" t="s">
        <v>115</v>
      </c>
      <c r="O35" s="9"/>
      <c r="P35" s="8" t="s">
        <v>129</v>
      </c>
      <c r="Q35" s="15">
        <v>1086</v>
      </c>
    </row>
    <row r="36" spans="1:17">
      <c r="A36" s="2"/>
      <c r="B36" s="8" t="s">
        <v>25</v>
      </c>
      <c r="C36" s="13" t="s">
        <v>163</v>
      </c>
      <c r="D36" s="13">
        <v>264</v>
      </c>
      <c r="E36" s="13" t="s">
        <v>54</v>
      </c>
      <c r="F36" s="9" t="s">
        <v>146</v>
      </c>
      <c r="G36" s="2"/>
      <c r="H36">
        <v>32.881036000000002</v>
      </c>
      <c r="I36">
        <v>10.469177</v>
      </c>
      <c r="J36" s="3" t="s">
        <v>68</v>
      </c>
      <c r="K36" s="2" t="s">
        <v>70</v>
      </c>
      <c r="L36" s="8" t="s">
        <v>98</v>
      </c>
      <c r="M36" s="13">
        <v>1.5</v>
      </c>
      <c r="N36" s="13" t="s">
        <v>115</v>
      </c>
      <c r="O36" s="9"/>
      <c r="P36" s="8" t="s">
        <v>126</v>
      </c>
      <c r="Q36" s="15">
        <v>296</v>
      </c>
    </row>
    <row r="37" spans="1:17">
      <c r="A37" s="2"/>
      <c r="B37" s="8" t="s">
        <v>25</v>
      </c>
      <c r="C37" s="13" t="s">
        <v>163</v>
      </c>
      <c r="D37" s="13">
        <v>263</v>
      </c>
      <c r="E37" s="13" t="s">
        <v>55</v>
      </c>
      <c r="F37" s="9" t="s">
        <v>146</v>
      </c>
      <c r="G37" s="2"/>
      <c r="H37">
        <v>32.867609000000002</v>
      </c>
      <c r="I37">
        <v>10.477366</v>
      </c>
      <c r="J37" s="3" t="s">
        <v>68</v>
      </c>
      <c r="K37" s="2" t="s">
        <v>70</v>
      </c>
      <c r="L37" s="8" t="s">
        <v>99</v>
      </c>
      <c r="M37" s="13">
        <v>1.7</v>
      </c>
      <c r="N37" s="13" t="s">
        <v>115</v>
      </c>
      <c r="O37" s="9"/>
      <c r="P37" s="8" t="s">
        <v>126</v>
      </c>
      <c r="Q37" s="15">
        <v>786</v>
      </c>
    </row>
    <row r="38" spans="1:17">
      <c r="A38" s="2"/>
      <c r="B38" s="8" t="s">
        <v>25</v>
      </c>
      <c r="C38" s="13" t="s">
        <v>163</v>
      </c>
      <c r="D38" s="13">
        <v>257</v>
      </c>
      <c r="E38" s="13" t="s">
        <v>56</v>
      </c>
      <c r="F38" s="9" t="s">
        <v>147</v>
      </c>
      <c r="G38" s="2"/>
      <c r="H38">
        <v>32.951284999999999</v>
      </c>
      <c r="I38">
        <v>10.367663</v>
      </c>
      <c r="J38" s="3" t="s">
        <v>68</v>
      </c>
      <c r="K38" s="2" t="s">
        <v>70</v>
      </c>
      <c r="L38" s="8" t="s">
        <v>100</v>
      </c>
      <c r="M38" s="13">
        <v>3.5</v>
      </c>
      <c r="N38" s="13" t="s">
        <v>115</v>
      </c>
      <c r="O38" s="9"/>
      <c r="P38" s="8" t="s">
        <v>121</v>
      </c>
      <c r="Q38" s="15">
        <v>2624</v>
      </c>
    </row>
    <row r="39" spans="1:17">
      <c r="A39" s="2"/>
      <c r="B39" s="8" t="s">
        <v>25</v>
      </c>
      <c r="C39" s="13" t="s">
        <v>163</v>
      </c>
      <c r="D39" s="13">
        <v>255</v>
      </c>
      <c r="E39" s="13" t="s">
        <v>44</v>
      </c>
      <c r="F39" s="9" t="s">
        <v>143</v>
      </c>
      <c r="G39" s="2"/>
      <c r="H39">
        <v>32.950724000000001</v>
      </c>
      <c r="I39">
        <v>10.370371</v>
      </c>
      <c r="J39" s="3" t="s">
        <v>68</v>
      </c>
      <c r="K39" s="2" t="s">
        <v>70</v>
      </c>
      <c r="L39" s="8" t="s">
        <v>87</v>
      </c>
      <c r="M39" s="13">
        <v>3.5</v>
      </c>
      <c r="N39" s="13" t="s">
        <v>115</v>
      </c>
      <c r="O39" s="9"/>
      <c r="P39" s="8" t="s">
        <v>119</v>
      </c>
      <c r="Q39" s="15">
        <v>1076</v>
      </c>
    </row>
    <row r="40" spans="1:17">
      <c r="A40" s="2"/>
      <c r="B40" s="8" t="s">
        <v>25</v>
      </c>
      <c r="C40" s="13" t="s">
        <v>163</v>
      </c>
      <c r="D40" s="13">
        <v>256</v>
      </c>
      <c r="E40" s="13" t="s">
        <v>45</v>
      </c>
      <c r="F40" s="9" t="s">
        <v>143</v>
      </c>
      <c r="G40" s="2"/>
      <c r="H40">
        <v>32.951739000000003</v>
      </c>
      <c r="I40">
        <v>10.36905</v>
      </c>
      <c r="J40" s="3" t="s">
        <v>68</v>
      </c>
      <c r="K40" s="2" t="s">
        <v>70</v>
      </c>
      <c r="L40" s="8" t="s">
        <v>88</v>
      </c>
      <c r="M40" s="13">
        <v>2</v>
      </c>
      <c r="N40" s="13" t="s">
        <v>115</v>
      </c>
      <c r="O40" s="9"/>
      <c r="P40" s="8" t="s">
        <v>123</v>
      </c>
      <c r="Q40" s="15">
        <v>1032</v>
      </c>
    </row>
    <row r="41" spans="1:17">
      <c r="A41" s="2"/>
      <c r="B41" s="8" t="s">
        <v>25</v>
      </c>
      <c r="C41" s="13" t="s">
        <v>163</v>
      </c>
      <c r="D41" s="13">
        <v>261</v>
      </c>
      <c r="E41" s="13" t="s">
        <v>46</v>
      </c>
      <c r="F41" s="9" t="s">
        <v>143</v>
      </c>
      <c r="G41" s="2"/>
      <c r="H41">
        <v>32.966788999999999</v>
      </c>
      <c r="I41">
        <v>10.353693</v>
      </c>
      <c r="J41" s="3" t="s">
        <v>68</v>
      </c>
      <c r="K41" s="2" t="s">
        <v>70</v>
      </c>
      <c r="L41" s="8" t="s">
        <v>89</v>
      </c>
      <c r="M41" s="13">
        <v>2.5</v>
      </c>
      <c r="N41" s="13" t="s">
        <v>115</v>
      </c>
      <c r="O41" s="9"/>
      <c r="P41" s="8" t="s">
        <v>120</v>
      </c>
      <c r="Q41" s="15">
        <v>552</v>
      </c>
    </row>
    <row r="42" spans="1:17">
      <c r="A42" s="2"/>
      <c r="B42" s="8" t="s">
        <v>25</v>
      </c>
      <c r="C42" s="13" t="s">
        <v>163</v>
      </c>
      <c r="D42" s="13">
        <v>262</v>
      </c>
      <c r="E42" s="13" t="s">
        <v>47</v>
      </c>
      <c r="F42" s="9" t="s">
        <v>143</v>
      </c>
      <c r="G42" s="2"/>
      <c r="H42">
        <v>32.963448999999997</v>
      </c>
      <c r="I42">
        <v>10.358862999999999</v>
      </c>
      <c r="J42" s="3" t="s">
        <v>68</v>
      </c>
      <c r="K42" s="2" t="s">
        <v>70</v>
      </c>
      <c r="L42" s="8" t="s">
        <v>90</v>
      </c>
      <c r="M42" s="13">
        <v>2</v>
      </c>
      <c r="N42" s="13" t="s">
        <v>115</v>
      </c>
      <c r="O42" s="9"/>
      <c r="P42" s="8" t="s">
        <v>124</v>
      </c>
      <c r="Q42" s="15">
        <v>528</v>
      </c>
    </row>
    <row r="43" spans="1:17">
      <c r="A43" s="2"/>
      <c r="B43" s="8" t="s">
        <v>25</v>
      </c>
      <c r="C43" s="13" t="s">
        <v>163</v>
      </c>
      <c r="D43" s="13">
        <v>260</v>
      </c>
      <c r="E43" s="13" t="s">
        <v>57</v>
      </c>
      <c r="F43" s="9" t="s">
        <v>148</v>
      </c>
      <c r="G43" s="2"/>
      <c r="H43">
        <v>32.973244000000001</v>
      </c>
      <c r="I43">
        <v>10.376175999999999</v>
      </c>
      <c r="J43" s="3" t="s">
        <v>68</v>
      </c>
      <c r="K43" s="2" t="s">
        <v>70</v>
      </c>
      <c r="L43" s="8" t="s">
        <v>101</v>
      </c>
      <c r="M43" s="13">
        <v>1.5</v>
      </c>
      <c r="N43" s="13" t="s">
        <v>115</v>
      </c>
      <c r="O43" s="9"/>
      <c r="P43" s="8" t="s">
        <v>119</v>
      </c>
      <c r="Q43" s="15">
        <v>282</v>
      </c>
    </row>
    <row r="44" spans="1:17" ht="24">
      <c r="A44" s="2"/>
      <c r="B44" s="8" t="s">
        <v>25</v>
      </c>
      <c r="C44" s="13" t="s">
        <v>163</v>
      </c>
      <c r="D44" s="13">
        <v>258</v>
      </c>
      <c r="E44" s="13" t="s">
        <v>58</v>
      </c>
      <c r="F44" s="9" t="s">
        <v>148</v>
      </c>
      <c r="G44" s="2"/>
      <c r="H44">
        <v>32.973542999999999</v>
      </c>
      <c r="I44">
        <v>10.376063</v>
      </c>
      <c r="J44" s="3" t="s">
        <v>68</v>
      </c>
      <c r="K44" s="2" t="s">
        <v>70</v>
      </c>
      <c r="L44" s="8" t="s">
        <v>102</v>
      </c>
      <c r="M44" s="13">
        <v>2</v>
      </c>
      <c r="N44" s="13" t="s">
        <v>115</v>
      </c>
      <c r="O44" s="9"/>
      <c r="P44" s="8" t="s">
        <v>119</v>
      </c>
      <c r="Q44" s="15">
        <v>208</v>
      </c>
    </row>
    <row r="45" spans="1:17">
      <c r="A45" s="2"/>
      <c r="B45" s="2"/>
      <c r="C45" s="11"/>
      <c r="D45" s="11"/>
      <c r="E45" s="11"/>
      <c r="F45" s="2"/>
      <c r="G45" s="2"/>
      <c r="H45" s="2"/>
      <c r="I45" s="2"/>
      <c r="J45" s="3"/>
      <c r="K45" s="2"/>
      <c r="L45" s="2"/>
      <c r="M45" s="11"/>
      <c r="N45" s="11"/>
      <c r="O45" s="2"/>
      <c r="P45" s="2"/>
      <c r="Q45" s="4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3"/>
      <c r="K46" s="2"/>
      <c r="L46" s="2"/>
      <c r="M46" s="2"/>
      <c r="N46" s="2"/>
      <c r="O46" s="2"/>
      <c r="P46" s="2"/>
      <c r="Q46" s="4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3"/>
      <c r="K47" s="2"/>
      <c r="L47" s="2"/>
      <c r="M47" s="2"/>
      <c r="N47" s="2"/>
      <c r="O47" s="2"/>
      <c r="P47" s="2"/>
      <c r="Q47" s="4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3"/>
      <c r="K48" s="2"/>
      <c r="L48" s="2"/>
      <c r="M48" s="2"/>
      <c r="N48" s="2"/>
      <c r="O48" s="2"/>
      <c r="P48" s="2"/>
      <c r="Q48" s="4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  <c r="L49" s="2"/>
      <c r="M49" s="2"/>
      <c r="N49" s="2"/>
      <c r="O49" s="2"/>
      <c r="P49" s="2"/>
      <c r="Q49" s="4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  <c r="L50" s="2"/>
      <c r="M50" s="2"/>
      <c r="N50" s="2"/>
      <c r="O50" s="2"/>
      <c r="P50" s="2"/>
      <c r="Q50" s="4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  <c r="Q51" s="4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2"/>
      <c r="N52" s="2"/>
      <c r="O52" s="2"/>
      <c r="P52" s="2"/>
      <c r="Q52" s="4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2"/>
      <c r="N53" s="2"/>
      <c r="O53" s="2"/>
      <c r="P53" s="2"/>
      <c r="Q53" s="4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4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3"/>
      <c r="K55" s="2"/>
      <c r="L55" s="2"/>
      <c r="M55" s="2"/>
      <c r="N55" s="2"/>
      <c r="O55" s="2"/>
      <c r="P55" s="2"/>
      <c r="Q55" s="4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3"/>
      <c r="K56" s="2"/>
      <c r="L56" s="2"/>
      <c r="M56" s="2"/>
      <c r="N56" s="2"/>
      <c r="O56" s="2"/>
      <c r="P56" s="2"/>
      <c r="Q56" s="4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3"/>
      <c r="K57" s="2"/>
      <c r="L57" s="2"/>
      <c r="M57" s="2"/>
      <c r="N57" s="2"/>
      <c r="O57" s="2"/>
      <c r="P57" s="2"/>
      <c r="Q57" s="4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3"/>
      <c r="K58" s="2"/>
      <c r="L58" s="2"/>
      <c r="M58" s="2"/>
      <c r="N58" s="2"/>
      <c r="O58" s="2"/>
      <c r="P58" s="2"/>
      <c r="Q58" s="4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3"/>
      <c r="K59" s="2"/>
      <c r="L59" s="2"/>
      <c r="M59" s="2"/>
      <c r="N59" s="2"/>
      <c r="O59" s="2"/>
      <c r="P59" s="2"/>
      <c r="Q59" s="4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3"/>
      <c r="K60" s="2"/>
      <c r="L60" s="2"/>
      <c r="M60" s="2"/>
      <c r="N60" s="2"/>
      <c r="O60" s="2"/>
      <c r="P60" s="2"/>
      <c r="Q60" s="4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3"/>
      <c r="K61" s="2"/>
      <c r="L61" s="2"/>
      <c r="M61" s="2"/>
      <c r="N61" s="2"/>
      <c r="O61" s="2"/>
      <c r="P61" s="2"/>
      <c r="Q61" s="4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3"/>
      <c r="K62" s="2"/>
      <c r="L62" s="2"/>
      <c r="M62" s="2"/>
      <c r="N62" s="2"/>
      <c r="O62" s="2"/>
      <c r="P62" s="2"/>
      <c r="Q62" s="4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3"/>
      <c r="K63" s="2"/>
      <c r="L63" s="2"/>
      <c r="M63" s="2"/>
      <c r="N63" s="2"/>
      <c r="O63" s="2"/>
      <c r="P63" s="2"/>
      <c r="Q63" s="4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  <c r="L64" s="2"/>
      <c r="M64" s="2"/>
      <c r="N64" s="2"/>
      <c r="O64" s="2"/>
      <c r="P64" s="2"/>
      <c r="Q64" s="4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4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  <c r="L66" s="2"/>
      <c r="M66" s="2"/>
      <c r="N66" s="2"/>
      <c r="O66" s="2"/>
      <c r="P66" s="2"/>
      <c r="Q66" s="4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4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  <c r="L68" s="2"/>
      <c r="M68" s="2"/>
      <c r="N68" s="2"/>
      <c r="O68" s="2"/>
      <c r="P68" s="2"/>
      <c r="Q68" s="4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  <c r="L69" s="2"/>
      <c r="M69" s="2"/>
      <c r="N69" s="2"/>
      <c r="O69" s="2"/>
      <c r="P69" s="2"/>
      <c r="Q69" s="4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  <c r="L70" s="2"/>
      <c r="M70" s="2"/>
      <c r="N70" s="2"/>
      <c r="O70" s="2"/>
      <c r="P70" s="2"/>
      <c r="Q70" s="4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4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4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  <c r="L73" s="2"/>
      <c r="M73" s="2"/>
      <c r="N73" s="2"/>
      <c r="O73" s="2"/>
      <c r="P73" s="2"/>
      <c r="Q73" s="4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2"/>
      <c r="M74" s="2"/>
      <c r="N74" s="2"/>
      <c r="O74" s="2"/>
      <c r="P74" s="2"/>
      <c r="Q74" s="4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4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2"/>
      <c r="M76" s="2"/>
      <c r="N76" s="2"/>
      <c r="O76" s="2"/>
      <c r="P76" s="2"/>
      <c r="Q76" s="4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4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2"/>
      <c r="M78" s="2"/>
      <c r="N78" s="2"/>
      <c r="O78" s="2"/>
      <c r="P78" s="2"/>
      <c r="Q78" s="4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2"/>
      <c r="M79" s="2"/>
      <c r="N79" s="2"/>
      <c r="O79" s="2"/>
      <c r="P79" s="2"/>
      <c r="Q79" s="4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2"/>
      <c r="M80" s="2"/>
      <c r="N80" s="2"/>
      <c r="O80" s="2"/>
      <c r="P80" s="2"/>
      <c r="Q80" s="4"/>
    </row>
    <row r="81" spans="1:17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2"/>
      <c r="M81" s="2"/>
      <c r="N81" s="2"/>
      <c r="O81" s="2"/>
      <c r="P81" s="2"/>
      <c r="Q81" s="4"/>
    </row>
    <row r="82" spans="1:17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2"/>
      <c r="M82" s="2"/>
      <c r="N82" s="2"/>
      <c r="O82" s="2"/>
      <c r="P82" s="2"/>
      <c r="Q82" s="4"/>
    </row>
    <row r="83" spans="1:17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2"/>
      <c r="M83" s="2"/>
      <c r="N83" s="2"/>
      <c r="O83" s="2"/>
      <c r="P83" s="2"/>
      <c r="Q83" s="4"/>
    </row>
    <row r="84" spans="1:17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2"/>
      <c r="M84" s="2"/>
      <c r="N84" s="2"/>
      <c r="O84" s="2"/>
      <c r="P84" s="2"/>
      <c r="Q84" s="4"/>
    </row>
    <row r="85" spans="1:17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2"/>
      <c r="M85" s="2"/>
      <c r="N85" s="2"/>
      <c r="O85" s="2"/>
      <c r="P85" s="2"/>
      <c r="Q85" s="4"/>
    </row>
    <row r="86" spans="1:17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2"/>
      <c r="M86" s="2"/>
      <c r="N86" s="2"/>
      <c r="O86" s="2"/>
      <c r="P86" s="2"/>
      <c r="Q86" s="4"/>
    </row>
    <row r="87" spans="1:17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2"/>
      <c r="M87" s="2"/>
      <c r="N87" s="2"/>
      <c r="O87" s="2"/>
      <c r="P87" s="2"/>
      <c r="Q87" s="4"/>
    </row>
    <row r="88" spans="1:17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2"/>
      <c r="M88" s="2"/>
      <c r="N88" s="2"/>
      <c r="O88" s="2"/>
      <c r="P88" s="2"/>
      <c r="Q88" s="4"/>
    </row>
    <row r="89" spans="1:17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2"/>
      <c r="M89" s="2"/>
      <c r="N89" s="2"/>
      <c r="O89" s="2"/>
      <c r="P89" s="2"/>
      <c r="Q89" s="4"/>
    </row>
    <row r="90" spans="1:17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2"/>
      <c r="M90" s="2"/>
      <c r="N90" s="2"/>
      <c r="O90" s="2"/>
      <c r="P90" s="2"/>
      <c r="Q90" s="4"/>
    </row>
    <row r="91" spans="1:17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2"/>
      <c r="M91" s="2"/>
      <c r="N91" s="2"/>
      <c r="O91" s="2"/>
      <c r="P91" s="2"/>
      <c r="Q91" s="4"/>
    </row>
    <row r="92" spans="1:17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2"/>
      <c r="M92" s="2"/>
      <c r="N92" s="2"/>
      <c r="O92" s="2"/>
      <c r="P92" s="2"/>
      <c r="Q92" s="4"/>
    </row>
    <row r="93" spans="1:17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2"/>
      <c r="M93" s="2"/>
      <c r="N93" s="2"/>
      <c r="O93" s="2"/>
      <c r="P93" s="2"/>
      <c r="Q93" s="4"/>
    </row>
    <row r="94" spans="1:17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4"/>
    </row>
    <row r="95" spans="1:17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2"/>
      <c r="M95" s="2"/>
      <c r="N95" s="2"/>
      <c r="O95" s="2"/>
      <c r="P95" s="2"/>
      <c r="Q95" s="4"/>
    </row>
    <row r="96" spans="1:17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2"/>
      <c r="M96" s="2"/>
      <c r="N96" s="2"/>
      <c r="O96" s="2"/>
      <c r="P96" s="2"/>
      <c r="Q96" s="4"/>
    </row>
    <row r="97" spans="1:17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2"/>
      <c r="M97" s="2"/>
      <c r="N97" s="2"/>
      <c r="O97" s="2"/>
      <c r="P97" s="2"/>
      <c r="Q97" s="4"/>
    </row>
    <row r="98" spans="1:17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2"/>
      <c r="M98" s="2"/>
      <c r="N98" s="2"/>
      <c r="O98" s="2"/>
      <c r="P98" s="2"/>
      <c r="Q98" s="4"/>
    </row>
    <row r="99" spans="1:17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2"/>
      <c r="M99" s="2"/>
      <c r="N99" s="2"/>
      <c r="O99" s="2"/>
      <c r="P99" s="2"/>
      <c r="Q99" s="4"/>
    </row>
    <row r="100" spans="1:17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2"/>
      <c r="M100" s="2"/>
      <c r="N100" s="2"/>
      <c r="O100" s="2"/>
      <c r="P100" s="2"/>
      <c r="Q100" s="4"/>
    </row>
    <row r="101" spans="1:17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2"/>
      <c r="M101" s="2"/>
      <c r="N101" s="2"/>
      <c r="O101" s="2"/>
      <c r="P101" s="2"/>
      <c r="Q101" s="4"/>
    </row>
    <row r="102" spans="1:17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2"/>
      <c r="M102" s="2"/>
      <c r="N102" s="2"/>
      <c r="O102" s="2"/>
      <c r="P102" s="2"/>
      <c r="Q102" s="4"/>
    </row>
    <row r="103" spans="1:17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2"/>
      <c r="M103" s="2"/>
      <c r="N103" s="2"/>
      <c r="O103" s="2"/>
      <c r="P103" s="2"/>
      <c r="Q103" s="4"/>
    </row>
    <row r="104" spans="1:17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2"/>
      <c r="M104" s="2"/>
      <c r="N104" s="2"/>
      <c r="O104" s="2"/>
      <c r="P104" s="2"/>
      <c r="Q104" s="4"/>
    </row>
    <row r="105" spans="1:17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2"/>
      <c r="M105" s="2"/>
      <c r="N105" s="2"/>
      <c r="O105" s="2"/>
      <c r="P105" s="2"/>
      <c r="Q105" s="4"/>
    </row>
    <row r="106" spans="1:17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2"/>
      <c r="M106" s="2"/>
      <c r="N106" s="2"/>
      <c r="O106" s="2"/>
      <c r="P106" s="2"/>
      <c r="Q106" s="4"/>
    </row>
    <row r="107" spans="1:17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4"/>
    </row>
    <row r="108" spans="1:17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2"/>
      <c r="M108" s="2"/>
      <c r="N108" s="2"/>
      <c r="O108" s="2"/>
      <c r="P108" s="2"/>
      <c r="Q108" s="4"/>
    </row>
    <row r="109" spans="1:17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2"/>
      <c r="M109" s="2"/>
      <c r="N109" s="2"/>
      <c r="O109" s="2"/>
      <c r="P109" s="2"/>
      <c r="Q109" s="4"/>
    </row>
    <row r="110" spans="1:17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2"/>
      <c r="M110" s="2"/>
      <c r="N110" s="2"/>
      <c r="O110" s="2"/>
      <c r="P110" s="2"/>
      <c r="Q110" s="4"/>
    </row>
    <row r="111" spans="1:17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2"/>
      <c r="M111" s="2"/>
      <c r="N111" s="2"/>
      <c r="O111" s="2"/>
      <c r="P111" s="2"/>
      <c r="Q111" s="4"/>
    </row>
    <row r="112" spans="1:17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2"/>
      <c r="M112" s="2"/>
      <c r="N112" s="2"/>
      <c r="O112" s="2"/>
      <c r="P112" s="2"/>
      <c r="Q112" s="4"/>
    </row>
    <row r="113" spans="1:17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2"/>
      <c r="M113" s="2"/>
      <c r="N113" s="2"/>
      <c r="O113" s="2"/>
      <c r="P113" s="2"/>
      <c r="Q113" s="4"/>
    </row>
    <row r="114" spans="1:17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4"/>
    </row>
    <row r="115" spans="1:17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4"/>
    </row>
    <row r="116" spans="1:17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4"/>
    </row>
    <row r="117" spans="1:17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4"/>
    </row>
    <row r="118" spans="1:17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4"/>
    </row>
    <row r="119" spans="1:17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4"/>
    </row>
    <row r="120" spans="1:17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4"/>
    </row>
    <row r="121" spans="1:17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4"/>
    </row>
    <row r="122" spans="1:17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4"/>
    </row>
    <row r="123" spans="1:17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4"/>
    </row>
    <row r="124" spans="1:17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4"/>
    </row>
    <row r="125" spans="1:17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4"/>
    </row>
    <row r="126" spans="1:17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4"/>
    </row>
    <row r="127" spans="1:17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4"/>
    </row>
    <row r="128" spans="1:17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4"/>
    </row>
    <row r="129" spans="1:17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4"/>
    </row>
    <row r="130" spans="1:17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4"/>
    </row>
    <row r="131" spans="1:17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4"/>
    </row>
    <row r="132" spans="1:17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4"/>
    </row>
    <row r="133" spans="1:17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4"/>
    </row>
    <row r="134" spans="1:17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4"/>
    </row>
    <row r="135" spans="1:17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4"/>
    </row>
    <row r="136" spans="1:17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4"/>
    </row>
    <row r="137" spans="1:17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4"/>
    </row>
    <row r="138" spans="1:17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4"/>
    </row>
    <row r="139" spans="1:17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4"/>
    </row>
    <row r="140" spans="1:17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4"/>
    </row>
    <row r="141" spans="1:17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4"/>
    </row>
    <row r="142" spans="1:17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4"/>
    </row>
    <row r="143" spans="1:17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4"/>
    </row>
    <row r="144" spans="1:17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4"/>
    </row>
    <row r="145" spans="1:17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4"/>
    </row>
    <row r="146" spans="1:17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4"/>
    </row>
    <row r="147" spans="1:17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4"/>
    </row>
    <row r="148" spans="1:17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4"/>
    </row>
    <row r="149" spans="1:17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4"/>
    </row>
    <row r="150" spans="1:17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4"/>
    </row>
    <row r="151" spans="1:17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4"/>
    </row>
    <row r="152" spans="1:17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4"/>
    </row>
    <row r="153" spans="1:17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4"/>
    </row>
    <row r="154" spans="1:17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4"/>
    </row>
    <row r="155" spans="1:17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4"/>
    </row>
    <row r="156" spans="1:17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4"/>
    </row>
    <row r="157" spans="1:17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4"/>
    </row>
    <row r="158" spans="1:17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4"/>
    </row>
    <row r="159" spans="1:17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4"/>
    </row>
    <row r="160" spans="1:17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4"/>
    </row>
    <row r="161" spans="1:17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4"/>
    </row>
    <row r="162" spans="1:17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4"/>
    </row>
    <row r="163" spans="1:17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4"/>
    </row>
    <row r="164" spans="1:17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4"/>
    </row>
    <row r="165" spans="1:17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4"/>
    </row>
    <row r="166" spans="1:17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4"/>
    </row>
    <row r="167" spans="1:17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4"/>
    </row>
    <row r="168" spans="1:17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4"/>
    </row>
    <row r="169" spans="1:17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4"/>
    </row>
    <row r="170" spans="1:17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4"/>
    </row>
    <row r="171" spans="1:17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4"/>
    </row>
    <row r="172" spans="1:17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4"/>
    </row>
    <row r="173" spans="1:17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4"/>
    </row>
    <row r="174" spans="1:17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4"/>
    </row>
    <row r="175" spans="1:17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4"/>
    </row>
    <row r="176" spans="1:17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4"/>
    </row>
    <row r="177" spans="1:17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4"/>
    </row>
    <row r="178" spans="1:17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4"/>
    </row>
    <row r="179" spans="1:17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4"/>
    </row>
    <row r="180" spans="1:17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4"/>
    </row>
    <row r="181" spans="1:17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4"/>
    </row>
    <row r="182" spans="1:17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4"/>
    </row>
    <row r="183" spans="1:17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4"/>
    </row>
    <row r="184" spans="1:17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4"/>
    </row>
    <row r="185" spans="1:17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4"/>
    </row>
    <row r="186" spans="1:17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4"/>
    </row>
    <row r="187" spans="1:17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4"/>
    </row>
    <row r="188" spans="1:17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4"/>
    </row>
    <row r="189" spans="1:17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4"/>
    </row>
    <row r="190" spans="1:17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4"/>
    </row>
    <row r="191" spans="1:17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4"/>
    </row>
    <row r="192" spans="1:17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4"/>
    </row>
    <row r="193" spans="1:17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4"/>
    </row>
    <row r="194" spans="1:17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4"/>
    </row>
    <row r="195" spans="1:17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4"/>
    </row>
    <row r="196" spans="1:17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4"/>
    </row>
    <row r="197" spans="1:17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4"/>
    </row>
    <row r="198" spans="1:17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4"/>
    </row>
    <row r="199" spans="1:17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4"/>
    </row>
    <row r="200" spans="1:17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4"/>
    </row>
    <row r="201" spans="1:17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4"/>
    </row>
    <row r="202" spans="1:17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4"/>
    </row>
    <row r="203" spans="1:17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4"/>
    </row>
    <row r="204" spans="1:17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4"/>
    </row>
    <row r="205" spans="1:17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4"/>
    </row>
    <row r="206" spans="1:17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4"/>
    </row>
    <row r="207" spans="1:17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4"/>
    </row>
    <row r="208" spans="1:17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4"/>
    </row>
    <row r="209" spans="1:17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4"/>
    </row>
    <row r="210" spans="1:17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4"/>
    </row>
    <row r="211" spans="1:17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4"/>
    </row>
    <row r="212" spans="1:17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4"/>
    </row>
    <row r="213" spans="1:17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4"/>
    </row>
    <row r="214" spans="1:17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4"/>
    </row>
    <row r="215" spans="1:17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4"/>
    </row>
    <row r="216" spans="1:17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4"/>
    </row>
    <row r="217" spans="1:17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4"/>
    </row>
    <row r="218" spans="1:17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4"/>
    </row>
    <row r="219" spans="1:17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4"/>
    </row>
    <row r="220" spans="1:17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4"/>
    </row>
    <row r="221" spans="1:17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4"/>
    </row>
    <row r="222" spans="1:17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4"/>
    </row>
    <row r="223" spans="1:17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4"/>
    </row>
    <row r="224" spans="1:17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4"/>
    </row>
    <row r="225" spans="1:17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4"/>
    </row>
    <row r="226" spans="1:17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4"/>
    </row>
    <row r="227" spans="1:17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4"/>
    </row>
    <row r="228" spans="1:17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4"/>
    </row>
    <row r="229" spans="1:17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2"/>
      <c r="P229" s="2"/>
      <c r="Q229" s="4"/>
    </row>
    <row r="230" spans="1:17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2"/>
      <c r="P230" s="2"/>
      <c r="Q230" s="4"/>
    </row>
    <row r="231" spans="1:17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2"/>
      <c r="P231" s="2"/>
      <c r="Q231" s="4"/>
    </row>
    <row r="232" spans="1:17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4"/>
    </row>
    <row r="233" spans="1:17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2"/>
      <c r="P233" s="2"/>
      <c r="Q233" s="4"/>
    </row>
    <row r="234" spans="1:17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2"/>
      <c r="P234" s="2"/>
      <c r="Q234" s="4"/>
    </row>
    <row r="235" spans="1:17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2"/>
      <c r="P235" s="2"/>
      <c r="Q235" s="4"/>
    </row>
    <row r="236" spans="1:17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4"/>
    </row>
    <row r="237" spans="1:17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2"/>
      <c r="P237" s="2"/>
      <c r="Q237" s="4"/>
    </row>
    <row r="238" spans="1:17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2"/>
      <c r="P238" s="2"/>
      <c r="Q238" s="4"/>
    </row>
    <row r="239" spans="1:17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4"/>
    </row>
    <row r="240" spans="1:17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2"/>
      <c r="P240" s="2"/>
      <c r="Q240" s="4"/>
    </row>
    <row r="241" spans="1:17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2"/>
      <c r="P241" s="2"/>
      <c r="Q241" s="4"/>
    </row>
    <row r="242" spans="1:17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4"/>
    </row>
    <row r="243" spans="1:17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2"/>
      <c r="P243" s="2"/>
      <c r="Q243" s="4"/>
    </row>
    <row r="244" spans="1:17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2"/>
      <c r="P244" s="2"/>
      <c r="Q244" s="4"/>
    </row>
    <row r="245" spans="1:17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2"/>
      <c r="P245" s="2"/>
      <c r="Q245" s="4"/>
    </row>
    <row r="246" spans="1:17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2"/>
      <c r="P246" s="2"/>
      <c r="Q246" s="4"/>
    </row>
    <row r="247" spans="1:17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4"/>
    </row>
    <row r="248" spans="1:17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2"/>
      <c r="P248" s="2"/>
      <c r="Q248" s="4"/>
    </row>
    <row r="249" spans="1:17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2"/>
      <c r="P249" s="2"/>
      <c r="Q249" s="4"/>
    </row>
    <row r="250" spans="1:17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4"/>
    </row>
    <row r="251" spans="1:17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2"/>
      <c r="P251" s="2"/>
      <c r="Q251" s="4"/>
    </row>
    <row r="252" spans="1:17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2"/>
      <c r="P252" s="2"/>
      <c r="Q252" s="4"/>
    </row>
    <row r="253" spans="1:17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2"/>
      <c r="P253" s="2"/>
      <c r="Q253" s="4"/>
    </row>
    <row r="254" spans="1:17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2"/>
      <c r="P254" s="2"/>
      <c r="Q254" s="4"/>
    </row>
    <row r="255" spans="1:17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4"/>
    </row>
    <row r="256" spans="1:17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4"/>
    </row>
    <row r="257" spans="1:17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4"/>
    </row>
    <row r="258" spans="1:17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2"/>
      <c r="P258" s="2"/>
      <c r="Q258" s="4"/>
    </row>
    <row r="259" spans="1:17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2"/>
      <c r="P259" s="2"/>
      <c r="Q259" s="4"/>
    </row>
    <row r="260" spans="1:17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4"/>
    </row>
    <row r="261" spans="1:17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2"/>
      <c r="P261" s="2"/>
      <c r="Q261" s="4"/>
    </row>
    <row r="262" spans="1:17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2"/>
      <c r="P262" s="2"/>
      <c r="Q262" s="4"/>
    </row>
    <row r="263" spans="1:17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2"/>
      <c r="P263" s="2"/>
      <c r="Q263" s="4"/>
    </row>
    <row r="264" spans="1:17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4"/>
    </row>
    <row r="265" spans="1:17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4"/>
    </row>
    <row r="266" spans="1:17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2"/>
      <c r="P266" s="2"/>
      <c r="Q266" s="4"/>
    </row>
    <row r="267" spans="1:17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2"/>
      <c r="P267" s="2"/>
      <c r="Q267" s="4"/>
    </row>
    <row r="268" spans="1:17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2"/>
      <c r="P268" s="2"/>
      <c r="Q268" s="4"/>
    </row>
    <row r="269" spans="1:17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2"/>
      <c r="P269" s="2"/>
      <c r="Q269" s="4"/>
    </row>
    <row r="270" spans="1:17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4"/>
    </row>
    <row r="271" spans="1:17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4"/>
    </row>
    <row r="272" spans="1:17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4"/>
    </row>
    <row r="273" spans="1:17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2"/>
      <c r="P273" s="2"/>
      <c r="Q273" s="4"/>
    </row>
    <row r="274" spans="1:17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2"/>
      <c r="P274" s="2"/>
      <c r="Q274" s="4"/>
    </row>
    <row r="275" spans="1:17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2"/>
      <c r="P275" s="2"/>
      <c r="Q275" s="4"/>
    </row>
    <row r="276" spans="1:17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2"/>
      <c r="P276" s="2"/>
      <c r="Q276" s="4"/>
    </row>
    <row r="277" spans="1:17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4"/>
    </row>
    <row r="278" spans="1:17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4"/>
    </row>
    <row r="279" spans="1:17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4"/>
    </row>
    <row r="280" spans="1:17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2"/>
      <c r="P280" s="2"/>
      <c r="Q280" s="4"/>
    </row>
    <row r="281" spans="1:17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2"/>
      <c r="P281" s="2"/>
      <c r="Q281" s="4"/>
    </row>
    <row r="282" spans="1:17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2"/>
      <c r="P282" s="2"/>
      <c r="Q282" s="4"/>
    </row>
    <row r="283" spans="1:17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4"/>
    </row>
    <row r="284" spans="1:17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4"/>
    </row>
    <row r="285" spans="1:17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2"/>
      <c r="P285" s="2"/>
      <c r="Q285" s="4"/>
    </row>
    <row r="286" spans="1:17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2"/>
      <c r="P286" s="2"/>
      <c r="Q286" s="4"/>
    </row>
    <row r="287" spans="1:17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4"/>
    </row>
    <row r="288" spans="1:17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2"/>
      <c r="P288" s="2"/>
      <c r="Q288" s="4"/>
    </row>
    <row r="289" spans="1:17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2"/>
      <c r="P289" s="2"/>
      <c r="Q289" s="4"/>
    </row>
    <row r="290" spans="1:17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4"/>
    </row>
    <row r="291" spans="1:17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4"/>
    </row>
    <row r="292" spans="1:17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2"/>
      <c r="P292" s="2"/>
      <c r="Q292" s="4"/>
    </row>
    <row r="293" spans="1:17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2"/>
      <c r="P293" s="2"/>
      <c r="Q293" s="4"/>
    </row>
    <row r="294" spans="1:17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4"/>
    </row>
    <row r="295" spans="1:17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2"/>
      <c r="M295" s="2"/>
      <c r="N295" s="2"/>
      <c r="O295" s="2"/>
      <c r="P295" s="2"/>
      <c r="Q295" s="4"/>
    </row>
    <row r="296" spans="1:17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2"/>
      <c r="M296" s="2"/>
      <c r="N296" s="2"/>
      <c r="O296" s="2"/>
      <c r="P296" s="2"/>
      <c r="Q296" s="4"/>
    </row>
    <row r="297" spans="1:17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4"/>
    </row>
    <row r="298" spans="1:17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2"/>
      <c r="M298" s="2"/>
      <c r="N298" s="2"/>
      <c r="O298" s="2"/>
      <c r="P298" s="2"/>
      <c r="Q298" s="4"/>
    </row>
    <row r="299" spans="1:17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2"/>
      <c r="M299" s="2"/>
      <c r="N299" s="2"/>
      <c r="O299" s="2"/>
      <c r="P299" s="2"/>
      <c r="Q299" s="4"/>
    </row>
    <row r="300" spans="1:17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2"/>
      <c r="M300" s="2"/>
      <c r="N300" s="2"/>
      <c r="O300" s="2"/>
      <c r="P300" s="2"/>
      <c r="Q300" s="4"/>
    </row>
    <row r="301" spans="1:17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4"/>
    </row>
    <row r="302" spans="1:17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4"/>
    </row>
    <row r="303" spans="1:17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2"/>
      <c r="M303" s="2"/>
      <c r="N303" s="2"/>
      <c r="O303" s="2"/>
      <c r="P303" s="2"/>
      <c r="Q303" s="4"/>
    </row>
    <row r="304" spans="1:17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2"/>
      <c r="M304" s="2"/>
      <c r="N304" s="2"/>
      <c r="O304" s="2"/>
      <c r="P304" s="2"/>
      <c r="Q304" s="4"/>
    </row>
    <row r="305" spans="1:17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2"/>
      <c r="M305" s="2"/>
      <c r="N305" s="2"/>
      <c r="O305" s="2"/>
      <c r="P305" s="2"/>
      <c r="Q305" s="4"/>
    </row>
    <row r="306" spans="1:17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4"/>
    </row>
    <row r="307" spans="1:17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2"/>
      <c r="M307" s="2"/>
      <c r="N307" s="2"/>
      <c r="O307" s="2"/>
      <c r="P307" s="2"/>
      <c r="Q307" s="4"/>
    </row>
    <row r="308" spans="1:17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2"/>
      <c r="M308" s="2"/>
      <c r="N308" s="2"/>
      <c r="O308" s="2"/>
      <c r="P308" s="2"/>
      <c r="Q308" s="4"/>
    </row>
    <row r="309" spans="1:17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4"/>
    </row>
    <row r="310" spans="1:17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4"/>
    </row>
    <row r="311" spans="1:17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2"/>
      <c r="M311" s="2"/>
      <c r="N311" s="2"/>
      <c r="O311" s="2"/>
      <c r="P311" s="2"/>
      <c r="Q311" s="4"/>
    </row>
    <row r="312" spans="1:17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2"/>
      <c r="M312" s="2"/>
      <c r="N312" s="2"/>
      <c r="O312" s="2"/>
      <c r="P312" s="2"/>
      <c r="Q312" s="4"/>
    </row>
    <row r="313" spans="1:17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4"/>
    </row>
    <row r="314" spans="1:17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4"/>
    </row>
    <row r="315" spans="1:17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2"/>
      <c r="M315" s="2"/>
      <c r="N315" s="2"/>
      <c r="O315" s="2"/>
      <c r="P315" s="2"/>
      <c r="Q315" s="4"/>
    </row>
    <row r="316" spans="1:17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2"/>
      <c r="M316" s="2"/>
      <c r="N316" s="2"/>
      <c r="O316" s="2"/>
      <c r="P316" s="2"/>
      <c r="Q316" s="4"/>
    </row>
    <row r="317" spans="1:17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2"/>
      <c r="M317" s="2"/>
      <c r="N317" s="2"/>
      <c r="O317" s="2"/>
      <c r="P317" s="2"/>
      <c r="Q317" s="4"/>
    </row>
    <row r="318" spans="1:17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4"/>
    </row>
    <row r="319" spans="1:17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2"/>
      <c r="M319" s="2"/>
      <c r="N319" s="2"/>
      <c r="O319" s="2"/>
      <c r="P319" s="2"/>
      <c r="Q319" s="4"/>
    </row>
    <row r="320" spans="1:17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2"/>
      <c r="M320" s="2"/>
      <c r="N320" s="2"/>
      <c r="O320" s="2"/>
      <c r="P320" s="2"/>
      <c r="Q320" s="4"/>
    </row>
    <row r="321" spans="1:17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4"/>
    </row>
    <row r="322" spans="1:17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2"/>
      <c r="M322" s="2"/>
      <c r="N322" s="2"/>
      <c r="O322" s="2"/>
      <c r="P322" s="2"/>
      <c r="Q322" s="4"/>
    </row>
    <row r="323" spans="1:17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2"/>
      <c r="M323" s="2"/>
      <c r="N323" s="2"/>
      <c r="O323" s="2"/>
      <c r="P323" s="2"/>
      <c r="Q323" s="4"/>
    </row>
    <row r="324" spans="1:17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4"/>
    </row>
    <row r="325" spans="1:17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2"/>
      <c r="M325" s="2"/>
      <c r="N325" s="2"/>
      <c r="O325" s="2"/>
      <c r="P325" s="2"/>
      <c r="Q325" s="4"/>
    </row>
    <row r="326" spans="1:17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2"/>
      <c r="M326" s="2"/>
      <c r="N326" s="2"/>
      <c r="O326" s="2"/>
      <c r="P326" s="2"/>
      <c r="Q326" s="4"/>
    </row>
    <row r="327" spans="1:17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4"/>
    </row>
    <row r="328" spans="1:17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2"/>
      <c r="M328" s="2"/>
      <c r="N328" s="2"/>
      <c r="O328" s="2"/>
      <c r="P328" s="2"/>
      <c r="Q328" s="4"/>
    </row>
    <row r="329" spans="1:17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2"/>
      <c r="M329" s="2"/>
      <c r="N329" s="2"/>
      <c r="O329" s="2"/>
      <c r="P329" s="2"/>
      <c r="Q329" s="4"/>
    </row>
    <row r="330" spans="1:17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2"/>
      <c r="M330" s="2"/>
      <c r="N330" s="2"/>
      <c r="O330" s="2"/>
      <c r="P330" s="2"/>
      <c r="Q330" s="4"/>
    </row>
    <row r="331" spans="1:17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2"/>
      <c r="M331" s="2"/>
      <c r="N331" s="2"/>
      <c r="O331" s="2"/>
      <c r="P331" s="2"/>
      <c r="Q331" s="4"/>
    </row>
    <row r="332" spans="1:17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4"/>
    </row>
    <row r="333" spans="1:17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2"/>
      <c r="M333" s="2"/>
      <c r="N333" s="2"/>
      <c r="O333" s="2"/>
      <c r="P333" s="2"/>
      <c r="Q333" s="4"/>
    </row>
    <row r="334" spans="1:17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2"/>
      <c r="M334" s="2"/>
      <c r="N334" s="2"/>
      <c r="O334" s="2"/>
      <c r="P334" s="2"/>
      <c r="Q334" s="4"/>
    </row>
    <row r="335" spans="1:17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2"/>
      <c r="M335" s="2"/>
      <c r="N335" s="2"/>
      <c r="O335" s="2"/>
      <c r="P335" s="2"/>
      <c r="Q335" s="4"/>
    </row>
    <row r="336" spans="1:17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4"/>
    </row>
    <row r="337" spans="1:17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2"/>
      <c r="M337" s="2"/>
      <c r="N337" s="2"/>
      <c r="O337" s="2"/>
      <c r="P337" s="2"/>
      <c r="Q337" s="4"/>
    </row>
    <row r="338" spans="1:17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2"/>
      <c r="M338" s="2"/>
      <c r="N338" s="2"/>
      <c r="O338" s="2"/>
      <c r="P338" s="2"/>
      <c r="Q338" s="4"/>
    </row>
    <row r="339" spans="1:17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4"/>
    </row>
    <row r="340" spans="1:17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2"/>
      <c r="M340" s="2"/>
      <c r="N340" s="2"/>
      <c r="O340" s="2"/>
      <c r="P340" s="2"/>
      <c r="Q340" s="4"/>
    </row>
    <row r="341" spans="1:17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2"/>
      <c r="M341" s="2"/>
      <c r="N341" s="2"/>
      <c r="O341" s="2"/>
      <c r="P341" s="2"/>
      <c r="Q341" s="4"/>
    </row>
    <row r="342" spans="1:17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2"/>
      <c r="M342" s="2"/>
      <c r="N342" s="2"/>
      <c r="O342" s="2"/>
      <c r="P342" s="2"/>
      <c r="Q342" s="4"/>
    </row>
    <row r="343" spans="1:17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4"/>
    </row>
    <row r="344" spans="1:17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2"/>
      <c r="M344" s="2"/>
      <c r="N344" s="2"/>
      <c r="O344" s="2"/>
      <c r="P344" s="2"/>
      <c r="Q344" s="4"/>
    </row>
    <row r="345" spans="1:17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2"/>
      <c r="M345" s="2"/>
      <c r="N345" s="2"/>
      <c r="O345" s="2"/>
      <c r="P345" s="2"/>
      <c r="Q345" s="4"/>
    </row>
    <row r="346" spans="1:17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4"/>
    </row>
    <row r="347" spans="1:17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2"/>
      <c r="M347" s="2"/>
      <c r="N347" s="2"/>
      <c r="O347" s="2"/>
      <c r="P347" s="2"/>
      <c r="Q347" s="4"/>
    </row>
    <row r="348" spans="1:17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2"/>
      <c r="M348" s="2"/>
      <c r="N348" s="2"/>
      <c r="O348" s="2"/>
      <c r="P348" s="2"/>
      <c r="Q348" s="4"/>
    </row>
    <row r="349" spans="1:17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2"/>
      <c r="M349" s="2"/>
      <c r="N349" s="2"/>
      <c r="O349" s="2"/>
      <c r="P349" s="2"/>
      <c r="Q349" s="4"/>
    </row>
    <row r="350" spans="1:17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2"/>
      <c r="M350" s="2"/>
      <c r="N350" s="2"/>
      <c r="O350" s="2"/>
      <c r="P350" s="2"/>
      <c r="Q350" s="4"/>
    </row>
    <row r="351" spans="1:17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2"/>
      <c r="M351" s="2"/>
      <c r="N351" s="2"/>
      <c r="O351" s="2"/>
      <c r="P351" s="2"/>
      <c r="Q351" s="4"/>
    </row>
    <row r="352" spans="1:17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2"/>
      <c r="M352" s="2"/>
      <c r="N352" s="2"/>
      <c r="O352" s="2"/>
      <c r="P352" s="2"/>
      <c r="Q352" s="4"/>
    </row>
    <row r="353" spans="1:17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2"/>
      <c r="M353" s="2"/>
      <c r="N353" s="2"/>
      <c r="O353" s="2"/>
      <c r="P353" s="2"/>
      <c r="Q353" s="4"/>
    </row>
    <row r="354" spans="1:17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2"/>
      <c r="M354" s="2"/>
      <c r="N354" s="2"/>
      <c r="O354" s="2"/>
      <c r="P354" s="2"/>
      <c r="Q354" s="4"/>
    </row>
    <row r="355" spans="1:17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2"/>
      <c r="M355" s="2"/>
      <c r="N355" s="2"/>
      <c r="O355" s="2"/>
      <c r="P355" s="2"/>
      <c r="Q355" s="4"/>
    </row>
    <row r="356" spans="1:17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2"/>
      <c r="M356" s="2"/>
      <c r="N356" s="2"/>
      <c r="O356" s="2"/>
      <c r="P356" s="2"/>
      <c r="Q356" s="4"/>
    </row>
    <row r="357" spans="1:17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4"/>
    </row>
    <row r="358" spans="1:17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2"/>
      <c r="M358" s="2"/>
      <c r="N358" s="2"/>
      <c r="O358" s="2"/>
      <c r="P358" s="2"/>
      <c r="Q358" s="4"/>
    </row>
    <row r="359" spans="1:17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2"/>
      <c r="M359" s="2"/>
      <c r="N359" s="2"/>
      <c r="O359" s="2"/>
      <c r="P359" s="2"/>
      <c r="Q359" s="4"/>
    </row>
    <row r="360" spans="1:17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2"/>
      <c r="M360" s="2"/>
      <c r="N360" s="2"/>
      <c r="O360" s="2"/>
      <c r="P360" s="2"/>
      <c r="Q360" s="4"/>
    </row>
    <row r="361" spans="1:17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2"/>
      <c r="M361" s="2"/>
      <c r="N361" s="2"/>
      <c r="O361" s="2"/>
      <c r="P361" s="2"/>
      <c r="Q361" s="4"/>
    </row>
    <row r="362" spans="1:17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4"/>
    </row>
    <row r="363" spans="1:17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4"/>
    </row>
    <row r="364" spans="1:17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2"/>
      <c r="M364" s="2"/>
      <c r="N364" s="2"/>
      <c r="O364" s="2"/>
      <c r="P364" s="2"/>
      <c r="Q364" s="4"/>
    </row>
    <row r="365" spans="1:17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2"/>
      <c r="M365" s="2"/>
      <c r="N365" s="2"/>
      <c r="O365" s="2"/>
      <c r="P365" s="2"/>
      <c r="Q365" s="4"/>
    </row>
    <row r="366" spans="1:17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4"/>
    </row>
    <row r="367" spans="1:17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2"/>
      <c r="M367" s="2"/>
      <c r="N367" s="2"/>
      <c r="O367" s="2"/>
      <c r="P367" s="2"/>
      <c r="Q367" s="4"/>
    </row>
    <row r="368" spans="1:17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2"/>
      <c r="M368" s="2"/>
      <c r="N368" s="2"/>
      <c r="O368" s="2"/>
      <c r="P368" s="2"/>
      <c r="Q368" s="4"/>
    </row>
    <row r="369" spans="1:17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2"/>
      <c r="M369" s="2"/>
      <c r="N369" s="2"/>
      <c r="O369" s="2"/>
      <c r="P369" s="2"/>
      <c r="Q369" s="4"/>
    </row>
    <row r="370" spans="1:17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4"/>
    </row>
    <row r="371" spans="1:17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2"/>
      <c r="M371" s="2"/>
      <c r="N371" s="2"/>
      <c r="O371" s="2"/>
      <c r="P371" s="2"/>
      <c r="Q371" s="4"/>
    </row>
    <row r="372" spans="1:17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2"/>
      <c r="M372" s="2"/>
      <c r="N372" s="2"/>
      <c r="O372" s="2"/>
      <c r="P372" s="2"/>
      <c r="Q372" s="4"/>
    </row>
    <row r="373" spans="1:17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2"/>
      <c r="M373" s="2"/>
      <c r="N373" s="2"/>
      <c r="O373" s="2"/>
      <c r="P373" s="2"/>
      <c r="Q373" s="4"/>
    </row>
    <row r="374" spans="1:17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2"/>
      <c r="M374" s="2"/>
      <c r="N374" s="2"/>
      <c r="O374" s="2"/>
      <c r="P374" s="2"/>
      <c r="Q374" s="4"/>
    </row>
    <row r="375" spans="1:17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2"/>
      <c r="M375" s="2"/>
      <c r="N375" s="2"/>
      <c r="O375" s="2"/>
      <c r="P375" s="2"/>
      <c r="Q375" s="4"/>
    </row>
    <row r="376" spans="1:17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2"/>
      <c r="M376" s="2"/>
      <c r="N376" s="2"/>
      <c r="O376" s="2"/>
      <c r="P376" s="2"/>
      <c r="Q376" s="4"/>
    </row>
    <row r="377" spans="1:17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4"/>
    </row>
    <row r="378" spans="1:17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2"/>
      <c r="M378" s="2"/>
      <c r="N378" s="2"/>
      <c r="O378" s="2"/>
      <c r="P378" s="2"/>
      <c r="Q378" s="4"/>
    </row>
    <row r="379" spans="1:17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2"/>
      <c r="M379" s="2"/>
      <c r="N379" s="2"/>
      <c r="O379" s="2"/>
      <c r="P379" s="2"/>
      <c r="Q379" s="4"/>
    </row>
    <row r="380" spans="1:17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2"/>
      <c r="M380" s="2"/>
      <c r="N380" s="2"/>
      <c r="O380" s="2"/>
      <c r="P380" s="2"/>
      <c r="Q380" s="4"/>
    </row>
    <row r="381" spans="1:17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4"/>
    </row>
    <row r="382" spans="1:17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2"/>
      <c r="M382" s="2"/>
      <c r="N382" s="2"/>
      <c r="O382" s="2"/>
      <c r="P382" s="2"/>
      <c r="Q382" s="4"/>
    </row>
    <row r="383" spans="1:17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2"/>
      <c r="M383" s="2"/>
      <c r="N383" s="2"/>
      <c r="O383" s="2"/>
      <c r="P383" s="2"/>
      <c r="Q383" s="4"/>
    </row>
    <row r="384" spans="1:17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4"/>
    </row>
    <row r="385" spans="1:17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2"/>
      <c r="M385" s="2"/>
      <c r="N385" s="2"/>
      <c r="O385" s="2"/>
      <c r="P385" s="2"/>
      <c r="Q385" s="4"/>
    </row>
    <row r="386" spans="1:17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2"/>
      <c r="M386" s="2"/>
      <c r="N386" s="2"/>
      <c r="O386" s="2"/>
      <c r="P386" s="2"/>
      <c r="Q386" s="4"/>
    </row>
    <row r="387" spans="1:17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2"/>
      <c r="M387" s="2"/>
      <c r="N387" s="2"/>
      <c r="O387" s="2"/>
      <c r="P387" s="2"/>
      <c r="Q387" s="4"/>
    </row>
    <row r="388" spans="1:17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2"/>
      <c r="M388" s="2"/>
      <c r="N388" s="2"/>
      <c r="O388" s="2"/>
      <c r="P388" s="2"/>
      <c r="Q388" s="4"/>
    </row>
    <row r="389" spans="1:17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2"/>
      <c r="M389" s="2"/>
      <c r="N389" s="2"/>
      <c r="O389" s="2"/>
      <c r="P389" s="2"/>
      <c r="Q389" s="4"/>
    </row>
    <row r="390" spans="1:17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2"/>
      <c r="M390" s="2"/>
      <c r="N390" s="2"/>
      <c r="O390" s="2"/>
      <c r="P390" s="2"/>
      <c r="Q390" s="4"/>
    </row>
    <row r="391" spans="1:17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2"/>
      <c r="M391" s="2"/>
      <c r="N391" s="2"/>
      <c r="O391" s="2"/>
      <c r="P391" s="2"/>
      <c r="Q391" s="4"/>
    </row>
    <row r="392" spans="1:17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2"/>
      <c r="M392" s="2"/>
      <c r="N392" s="2"/>
      <c r="O392" s="2"/>
      <c r="P392" s="2"/>
      <c r="Q392" s="4"/>
    </row>
    <row r="393" spans="1:17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2"/>
      <c r="M393" s="2"/>
      <c r="N393" s="2"/>
      <c r="O393" s="2"/>
      <c r="P393" s="2"/>
      <c r="Q393" s="4"/>
    </row>
    <row r="394" spans="1:17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2"/>
      <c r="M394" s="2"/>
      <c r="N394" s="2"/>
      <c r="O394" s="2"/>
      <c r="P394" s="2"/>
      <c r="Q394" s="4"/>
    </row>
    <row r="395" spans="1:17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2"/>
      <c r="M395" s="2"/>
      <c r="N395" s="2"/>
      <c r="O395" s="2"/>
      <c r="P395" s="2"/>
      <c r="Q395" s="4"/>
    </row>
    <row r="396" spans="1:17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2"/>
      <c r="M396" s="2"/>
      <c r="N396" s="2"/>
      <c r="O396" s="2"/>
      <c r="P396" s="2"/>
      <c r="Q396" s="4"/>
    </row>
    <row r="397" spans="1:17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2"/>
      <c r="M397" s="2"/>
      <c r="N397" s="2"/>
      <c r="O397" s="2"/>
      <c r="P397" s="2"/>
      <c r="Q397" s="4"/>
    </row>
    <row r="398" spans="1:17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2"/>
      <c r="M398" s="2"/>
      <c r="N398" s="2"/>
      <c r="O398" s="2"/>
      <c r="P398" s="2"/>
      <c r="Q398" s="4"/>
    </row>
    <row r="399" spans="1:17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2"/>
      <c r="M399" s="2"/>
      <c r="N399" s="2"/>
      <c r="O399" s="2"/>
      <c r="P399" s="2"/>
      <c r="Q399" s="4"/>
    </row>
    <row r="400" spans="1:17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2"/>
      <c r="M400" s="2"/>
      <c r="N400" s="2"/>
      <c r="O400" s="2"/>
      <c r="P400" s="2"/>
      <c r="Q400" s="4"/>
    </row>
    <row r="401" spans="1:17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2"/>
      <c r="M401" s="2"/>
      <c r="N401" s="2"/>
      <c r="O401" s="2"/>
      <c r="P401" s="2"/>
      <c r="Q401" s="4"/>
    </row>
    <row r="402" spans="1:17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2"/>
      <c r="M402" s="2"/>
      <c r="N402" s="2"/>
      <c r="O402" s="2"/>
      <c r="P402" s="2"/>
      <c r="Q402" s="4"/>
    </row>
    <row r="403" spans="1:17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2"/>
      <c r="M403" s="2"/>
      <c r="N403" s="2"/>
      <c r="O403" s="2"/>
      <c r="P403" s="2"/>
      <c r="Q403" s="4"/>
    </row>
    <row r="404" spans="1:17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2"/>
      <c r="M404" s="2"/>
      <c r="N404" s="2"/>
      <c r="O404" s="2"/>
      <c r="P404" s="2"/>
      <c r="Q404" s="4"/>
    </row>
    <row r="405" spans="1:17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2"/>
      <c r="M405" s="2"/>
      <c r="N405" s="2"/>
      <c r="O405" s="2"/>
      <c r="P405" s="2"/>
      <c r="Q405" s="4"/>
    </row>
    <row r="406" spans="1:17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2"/>
      <c r="M406" s="2"/>
      <c r="N406" s="2"/>
      <c r="O406" s="2"/>
      <c r="P406" s="2"/>
      <c r="Q406" s="4"/>
    </row>
    <row r="407" spans="1:17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2"/>
      <c r="M407" s="2"/>
      <c r="N407" s="2"/>
      <c r="O407" s="2"/>
      <c r="P407" s="2"/>
      <c r="Q407" s="4"/>
    </row>
    <row r="408" spans="1:17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2"/>
      <c r="M408" s="2"/>
      <c r="N408" s="2"/>
      <c r="O408" s="2"/>
      <c r="P408" s="2"/>
      <c r="Q408" s="4"/>
    </row>
    <row r="409" spans="1:17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2"/>
      <c r="M409" s="2"/>
      <c r="N409" s="2"/>
      <c r="O409" s="2"/>
      <c r="P409" s="2"/>
      <c r="Q409" s="4"/>
    </row>
    <row r="410" spans="1:17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2"/>
      <c r="M410" s="2"/>
      <c r="N410" s="2"/>
      <c r="O410" s="2"/>
      <c r="P410" s="2"/>
      <c r="Q410" s="4"/>
    </row>
    <row r="411" spans="1:17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2"/>
      <c r="M411" s="2"/>
      <c r="N411" s="2"/>
      <c r="O411" s="2"/>
      <c r="P411" s="2"/>
      <c r="Q411" s="4"/>
    </row>
    <row r="412" spans="1:17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2"/>
      <c r="M412" s="2"/>
      <c r="N412" s="2"/>
      <c r="O412" s="2"/>
      <c r="P412" s="2"/>
      <c r="Q412" s="4"/>
    </row>
    <row r="413" spans="1:17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2"/>
      <c r="M413" s="2"/>
      <c r="N413" s="2"/>
      <c r="O413" s="2"/>
      <c r="P413" s="2"/>
      <c r="Q413" s="4"/>
    </row>
    <row r="414" spans="1:17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2"/>
      <c r="M414" s="2"/>
      <c r="N414" s="2"/>
      <c r="O414" s="2"/>
      <c r="P414" s="2"/>
      <c r="Q414" s="4"/>
    </row>
    <row r="415" spans="1:17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2"/>
      <c r="M415" s="2"/>
      <c r="N415" s="2"/>
      <c r="O415" s="2"/>
      <c r="P415" s="2"/>
      <c r="Q415" s="4"/>
    </row>
    <row r="416" spans="1:17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2"/>
      <c r="M416" s="2"/>
      <c r="N416" s="2"/>
      <c r="O416" s="2"/>
      <c r="P416" s="2"/>
      <c r="Q416" s="4"/>
    </row>
    <row r="417" spans="1:17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2"/>
      <c r="M417" s="2"/>
      <c r="N417" s="2"/>
      <c r="O417" s="2"/>
      <c r="P417" s="2"/>
      <c r="Q417" s="4"/>
    </row>
    <row r="418" spans="1:17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2"/>
      <c r="M418" s="2"/>
      <c r="N418" s="2"/>
      <c r="O418" s="2"/>
      <c r="P418" s="2"/>
      <c r="Q418" s="4"/>
    </row>
    <row r="419" spans="1:17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2"/>
      <c r="M419" s="2"/>
      <c r="N419" s="2"/>
      <c r="O419" s="2"/>
      <c r="P419" s="2"/>
      <c r="Q419" s="4"/>
    </row>
    <row r="420" spans="1:17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2"/>
      <c r="M420" s="2"/>
      <c r="N420" s="2"/>
      <c r="O420" s="2"/>
      <c r="P420" s="2"/>
      <c r="Q420" s="4"/>
    </row>
    <row r="421" spans="1:17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2"/>
      <c r="M421" s="2"/>
      <c r="N421" s="2"/>
      <c r="O421" s="2"/>
      <c r="P421" s="2"/>
      <c r="Q421" s="4"/>
    </row>
    <row r="422" spans="1:17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2"/>
      <c r="M422" s="2"/>
      <c r="N422" s="2"/>
      <c r="O422" s="2"/>
      <c r="P422" s="2"/>
      <c r="Q422" s="4"/>
    </row>
    <row r="423" spans="1:17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2"/>
      <c r="M423" s="2"/>
      <c r="N423" s="2"/>
      <c r="O423" s="2"/>
      <c r="P423" s="2"/>
      <c r="Q423" s="4"/>
    </row>
    <row r="424" spans="1:17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2"/>
      <c r="M424" s="2"/>
      <c r="N424" s="2"/>
      <c r="O424" s="2"/>
      <c r="P424" s="2"/>
      <c r="Q424" s="4"/>
    </row>
    <row r="425" spans="1:17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2"/>
      <c r="M425" s="2"/>
      <c r="N425" s="2"/>
      <c r="O425" s="2"/>
      <c r="P425" s="2"/>
      <c r="Q425" s="4"/>
    </row>
    <row r="426" spans="1:17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2"/>
      <c r="M426" s="2"/>
      <c r="N426" s="2"/>
      <c r="O426" s="2"/>
      <c r="P426" s="2"/>
      <c r="Q426" s="4"/>
    </row>
    <row r="427" spans="1:17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2"/>
      <c r="M427" s="2"/>
      <c r="N427" s="2"/>
      <c r="O427" s="2"/>
      <c r="P427" s="2"/>
      <c r="Q427" s="4"/>
    </row>
    <row r="428" spans="1:17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2"/>
      <c r="M428" s="2"/>
      <c r="N428" s="2"/>
      <c r="O428" s="2"/>
      <c r="P428" s="2"/>
      <c r="Q428" s="4"/>
    </row>
    <row r="429" spans="1:17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2"/>
      <c r="M429" s="2"/>
      <c r="N429" s="2"/>
      <c r="O429" s="2"/>
      <c r="P429" s="2"/>
      <c r="Q429" s="4"/>
    </row>
    <row r="430" spans="1:17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2"/>
      <c r="M430" s="2"/>
      <c r="N430" s="2"/>
      <c r="O430" s="2"/>
      <c r="P430" s="2"/>
      <c r="Q430" s="4"/>
    </row>
    <row r="431" spans="1:17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2"/>
      <c r="M431" s="2"/>
      <c r="N431" s="2"/>
      <c r="O431" s="2"/>
      <c r="P431" s="2"/>
      <c r="Q431" s="4"/>
    </row>
    <row r="432" spans="1:17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2"/>
      <c r="M432" s="2"/>
      <c r="N432" s="2"/>
      <c r="O432" s="2"/>
      <c r="P432" s="2"/>
      <c r="Q432" s="4"/>
    </row>
    <row r="433" spans="1:17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2"/>
      <c r="M433" s="2"/>
      <c r="N433" s="2"/>
      <c r="O433" s="2"/>
      <c r="P433" s="2"/>
      <c r="Q433" s="4"/>
    </row>
    <row r="434" spans="1:17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2"/>
      <c r="M434" s="2"/>
      <c r="N434" s="2"/>
      <c r="O434" s="2"/>
      <c r="P434" s="2"/>
      <c r="Q434" s="4"/>
    </row>
    <row r="435" spans="1:17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2"/>
      <c r="M435" s="2"/>
      <c r="N435" s="2"/>
      <c r="O435" s="2"/>
      <c r="P435" s="2"/>
      <c r="Q435" s="4"/>
    </row>
    <row r="436" spans="1:17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2"/>
      <c r="M436" s="2"/>
      <c r="N436" s="2"/>
      <c r="O436" s="2"/>
      <c r="P436" s="2"/>
      <c r="Q436" s="4"/>
    </row>
    <row r="437" spans="1:17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2"/>
      <c r="M437" s="2"/>
      <c r="N437" s="2"/>
      <c r="O437" s="2"/>
      <c r="P437" s="2"/>
      <c r="Q437" s="4"/>
    </row>
    <row r="438" spans="1:17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2"/>
      <c r="M438" s="2"/>
      <c r="N438" s="2"/>
      <c r="O438" s="2"/>
      <c r="P438" s="2"/>
      <c r="Q438" s="4"/>
    </row>
    <row r="439" spans="1:17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2"/>
      <c r="M439" s="2"/>
      <c r="N439" s="2"/>
      <c r="O439" s="2"/>
      <c r="P439" s="2"/>
      <c r="Q439" s="4"/>
    </row>
    <row r="440" spans="1:17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2"/>
      <c r="M440" s="2"/>
      <c r="N440" s="2"/>
      <c r="O440" s="2"/>
      <c r="P440" s="2"/>
      <c r="Q440" s="4"/>
    </row>
    <row r="441" spans="1:17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2"/>
      <c r="M441" s="2"/>
      <c r="N441" s="2"/>
      <c r="O441" s="2"/>
      <c r="P441" s="2"/>
      <c r="Q441" s="4"/>
    </row>
    <row r="442" spans="1:17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2"/>
      <c r="M442" s="2"/>
      <c r="N442" s="2"/>
      <c r="O442" s="2"/>
      <c r="P442" s="2"/>
      <c r="Q442" s="4"/>
    </row>
    <row r="443" spans="1:17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2"/>
      <c r="M443" s="2"/>
      <c r="N443" s="2"/>
      <c r="O443" s="2"/>
      <c r="P443" s="2"/>
      <c r="Q443" s="4"/>
    </row>
    <row r="444" spans="1:17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2"/>
      <c r="M444" s="2"/>
      <c r="N444" s="2"/>
      <c r="O444" s="2"/>
      <c r="P444" s="2"/>
      <c r="Q444" s="4"/>
    </row>
    <row r="445" spans="1:17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2"/>
      <c r="M445" s="2"/>
      <c r="N445" s="2"/>
      <c r="O445" s="2"/>
      <c r="P445" s="2"/>
      <c r="Q445" s="4"/>
    </row>
    <row r="446" spans="1:17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2"/>
      <c r="M446" s="2"/>
      <c r="N446" s="2"/>
      <c r="O446" s="2"/>
      <c r="P446" s="2"/>
      <c r="Q446" s="4"/>
    </row>
    <row r="447" spans="1:17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2"/>
      <c r="M447" s="2"/>
      <c r="N447" s="2"/>
      <c r="O447" s="2"/>
      <c r="P447" s="2"/>
      <c r="Q447" s="4"/>
    </row>
    <row r="448" spans="1:17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2"/>
      <c r="M448" s="2"/>
      <c r="N448" s="2"/>
      <c r="O448" s="2"/>
      <c r="P448" s="2"/>
      <c r="Q448" s="4"/>
    </row>
    <row r="449" spans="1:17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2"/>
      <c r="M449" s="2"/>
      <c r="N449" s="2"/>
      <c r="O449" s="2"/>
      <c r="P449" s="2"/>
      <c r="Q449" s="4"/>
    </row>
    <row r="450" spans="1:17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2"/>
      <c r="M450" s="2"/>
      <c r="N450" s="2"/>
      <c r="O450" s="2"/>
      <c r="P450" s="2"/>
      <c r="Q450" s="4"/>
    </row>
    <row r="451" spans="1:17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2"/>
      <c r="M451" s="2"/>
      <c r="N451" s="2"/>
      <c r="O451" s="2"/>
      <c r="P451" s="2"/>
      <c r="Q451" s="4"/>
    </row>
    <row r="452" spans="1:17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2"/>
      <c r="M452" s="2"/>
      <c r="N452" s="2"/>
      <c r="O452" s="2"/>
      <c r="P452" s="2"/>
      <c r="Q452" s="4"/>
    </row>
    <row r="453" spans="1:17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2"/>
      <c r="M453" s="2"/>
      <c r="N453" s="2"/>
      <c r="O453" s="2"/>
      <c r="P453" s="2"/>
      <c r="Q453" s="4"/>
    </row>
    <row r="454" spans="1:17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2"/>
      <c r="M454" s="2"/>
      <c r="N454" s="2"/>
      <c r="O454" s="2"/>
      <c r="P454" s="2"/>
      <c r="Q454" s="4"/>
    </row>
    <row r="455" spans="1:17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2"/>
      <c r="M455" s="2"/>
      <c r="N455" s="2"/>
      <c r="O455" s="2"/>
      <c r="P455" s="2"/>
      <c r="Q455" s="4"/>
    </row>
    <row r="456" spans="1:17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2"/>
      <c r="M456" s="2"/>
      <c r="N456" s="2"/>
      <c r="O456" s="2"/>
      <c r="P456" s="2"/>
      <c r="Q456" s="4"/>
    </row>
    <row r="457" spans="1:17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2"/>
      <c r="M457" s="2"/>
      <c r="N457" s="2"/>
      <c r="O457" s="2"/>
      <c r="P457" s="2"/>
      <c r="Q457" s="4"/>
    </row>
    <row r="458" spans="1:17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2"/>
      <c r="M458" s="2"/>
      <c r="N458" s="2"/>
      <c r="O458" s="2"/>
      <c r="P458" s="2"/>
      <c r="Q458" s="4"/>
    </row>
    <row r="459" spans="1:17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2"/>
      <c r="M459" s="2"/>
      <c r="N459" s="2"/>
      <c r="O459" s="2"/>
      <c r="P459" s="2"/>
      <c r="Q459" s="4"/>
    </row>
    <row r="460" spans="1:17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2"/>
      <c r="M460" s="2"/>
      <c r="N460" s="2"/>
      <c r="O460" s="2"/>
      <c r="P460" s="2"/>
      <c r="Q460" s="4"/>
    </row>
    <row r="461" spans="1:17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2"/>
      <c r="M461" s="2"/>
      <c r="N461" s="2"/>
      <c r="O461" s="2"/>
      <c r="P461" s="2"/>
      <c r="Q461" s="4"/>
    </row>
    <row r="462" spans="1:17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2"/>
      <c r="M462" s="2"/>
      <c r="N462" s="2"/>
      <c r="O462" s="2"/>
      <c r="P462" s="2"/>
      <c r="Q462" s="4"/>
    </row>
    <row r="463" spans="1:17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2"/>
      <c r="M463" s="2"/>
      <c r="N463" s="2"/>
      <c r="O463" s="2"/>
      <c r="P463" s="2"/>
      <c r="Q463" s="4"/>
    </row>
    <row r="464" spans="1:17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2"/>
      <c r="M464" s="2"/>
      <c r="N464" s="2"/>
      <c r="O464" s="2"/>
      <c r="P464" s="2"/>
      <c r="Q464" s="4"/>
    </row>
    <row r="465" spans="1:17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2"/>
      <c r="M465" s="2"/>
      <c r="N465" s="2"/>
      <c r="O465" s="2"/>
      <c r="P465" s="2"/>
      <c r="Q465" s="4"/>
    </row>
    <row r="466" spans="1:17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2"/>
      <c r="M466" s="2"/>
      <c r="N466" s="2"/>
      <c r="O466" s="2"/>
      <c r="P466" s="2"/>
      <c r="Q466" s="4"/>
    </row>
    <row r="467" spans="1:17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2"/>
      <c r="M467" s="2"/>
      <c r="N467" s="2"/>
      <c r="O467" s="2"/>
      <c r="P467" s="2"/>
      <c r="Q467" s="4"/>
    </row>
    <row r="468" spans="1:17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2"/>
      <c r="M468" s="2"/>
      <c r="N468" s="2"/>
      <c r="O468" s="2"/>
      <c r="P468" s="2"/>
      <c r="Q468" s="4"/>
    </row>
    <row r="469" spans="1:17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2"/>
      <c r="M469" s="2"/>
      <c r="N469" s="2"/>
      <c r="O469" s="2"/>
      <c r="P469" s="2"/>
      <c r="Q469" s="4"/>
    </row>
    <row r="470" spans="1:17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2"/>
      <c r="M470" s="2"/>
      <c r="N470" s="2"/>
      <c r="O470" s="2"/>
      <c r="P470" s="2"/>
      <c r="Q470" s="4"/>
    </row>
    <row r="471" spans="1:17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2"/>
      <c r="M471" s="2"/>
      <c r="N471" s="2"/>
      <c r="O471" s="2"/>
      <c r="P471" s="2"/>
      <c r="Q471" s="4"/>
    </row>
    <row r="472" spans="1:17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2"/>
      <c r="M472" s="2"/>
      <c r="N472" s="2"/>
      <c r="O472" s="2"/>
      <c r="P472" s="2"/>
      <c r="Q472" s="4"/>
    </row>
    <row r="473" spans="1:17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2"/>
      <c r="M473" s="2"/>
      <c r="N473" s="2"/>
      <c r="O473" s="2"/>
      <c r="P473" s="2"/>
      <c r="Q473" s="4"/>
    </row>
    <row r="474" spans="1:17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2"/>
      <c r="M474" s="2"/>
      <c r="N474" s="2"/>
      <c r="O474" s="2"/>
      <c r="P474" s="2"/>
      <c r="Q474" s="4"/>
    </row>
    <row r="475" spans="1:17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2"/>
      <c r="M475" s="2"/>
      <c r="N475" s="2"/>
      <c r="O475" s="2"/>
      <c r="P475" s="2"/>
      <c r="Q475" s="4"/>
    </row>
    <row r="476" spans="1:17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2"/>
      <c r="M476" s="2"/>
      <c r="N476" s="2"/>
      <c r="O476" s="2"/>
      <c r="P476" s="2"/>
      <c r="Q476" s="4"/>
    </row>
    <row r="477" spans="1:17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2"/>
      <c r="M477" s="2"/>
      <c r="N477" s="2"/>
      <c r="O477" s="2"/>
      <c r="P477" s="2"/>
      <c r="Q477" s="4"/>
    </row>
    <row r="478" spans="1:17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2"/>
      <c r="M478" s="2"/>
      <c r="N478" s="2"/>
      <c r="O478" s="2"/>
      <c r="P478" s="2"/>
      <c r="Q478" s="4"/>
    </row>
    <row r="479" spans="1:17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2"/>
      <c r="M479" s="2"/>
      <c r="N479" s="2"/>
      <c r="O479" s="2"/>
      <c r="P479" s="2"/>
      <c r="Q479" s="4"/>
    </row>
    <row r="480" spans="1:17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2"/>
      <c r="M480" s="2"/>
      <c r="N480" s="2"/>
      <c r="O480" s="2"/>
      <c r="P480" s="2"/>
      <c r="Q480" s="4"/>
    </row>
    <row r="481" spans="1:17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2"/>
      <c r="M481" s="2"/>
      <c r="N481" s="2"/>
      <c r="O481" s="2"/>
      <c r="P481" s="2"/>
      <c r="Q481" s="4"/>
    </row>
  </sheetData>
  <sortState ref="A2:Q44">
    <sortCondition ref="C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ملخص</vt:lpstr>
      <vt:lpstr>التجميع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mounir_sellami@yahoo.fr</dc:creator>
  <cp:lastModifiedBy>mounir_sellami@yahoo.fr</cp:lastModifiedBy>
  <dcterms:created xsi:type="dcterms:W3CDTF">2026-09-17T10:50:40Z</dcterms:created>
  <dcterms:modified xsi:type="dcterms:W3CDTF">2026-09-17T11:36:49Z</dcterms:modified>
</cp:coreProperties>
</file>