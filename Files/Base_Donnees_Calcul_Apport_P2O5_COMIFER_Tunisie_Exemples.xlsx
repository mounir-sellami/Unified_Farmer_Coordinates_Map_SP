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E\Downloads\"/>
    </mc:Choice>
  </mc:AlternateContent>
  <bookViews>
    <workbookView xWindow="0" yWindow="0" windowWidth="25200" windowHeight="11730" activeTab="2"/>
  </bookViews>
  <sheets>
    <sheet name="Résumé" sheetId="3" r:id="rId1"/>
    <sheet name="ملخص" sheetId="1" r:id="rId2"/>
    <sheet name="التجميع" sheetId="2" r:id="rId3"/>
    <sheet name="Explic_Col" sheetId="4" r:id="rId4"/>
    <sheet name="Guide_Formules" sheetId="5" r:id="rId5"/>
    <sheet name="Parametres" sheetId="6" r:id="rId6"/>
    <sheet name="Cultures" sheetId="7" r:id="rId7"/>
  </sheets>
  <calcPr calcId="162913"/>
  <fileRecoveryPr repairLoad="1"/>
</workbook>
</file>

<file path=xl/calcChain.xml><?xml version="1.0" encoding="utf-8"?>
<calcChain xmlns="http://schemas.openxmlformats.org/spreadsheetml/2006/main">
  <c r="B178" i="4" l="1"/>
  <c r="B132" i="4"/>
  <c r="B114" i="4"/>
  <c r="B38" i="4"/>
  <c r="Y1121" i="2" l="1"/>
  <c r="U1121" i="2"/>
  <c r="Z1121" i="2" s="1"/>
  <c r="Y1120" i="2"/>
  <c r="U1120" i="2"/>
  <c r="Z1120" i="2" s="1"/>
  <c r="Y1119" i="2"/>
  <c r="U1119" i="2"/>
  <c r="Z1119" i="2" s="1"/>
  <c r="Y1118" i="2"/>
  <c r="U1118" i="2"/>
  <c r="Z1118" i="2" s="1"/>
  <c r="Y1117" i="2"/>
  <c r="U1117" i="2"/>
  <c r="Z1117" i="2" s="1"/>
  <c r="Y1116" i="2"/>
  <c r="U1116" i="2"/>
  <c r="Z1116" i="2" s="1"/>
  <c r="Y1115" i="2"/>
  <c r="U1115" i="2"/>
  <c r="Z1115" i="2" s="1"/>
  <c r="Y1114" i="2"/>
  <c r="U1114" i="2"/>
  <c r="Z1114" i="2" s="1"/>
  <c r="Y1113" i="2"/>
  <c r="U1113" i="2"/>
  <c r="Z1113" i="2" s="1"/>
  <c r="Y1112" i="2"/>
  <c r="U1112" i="2"/>
  <c r="Z1112" i="2" s="1"/>
  <c r="Y1111" i="2"/>
  <c r="U1111" i="2"/>
  <c r="Z1111" i="2" s="1"/>
  <c r="Y1110" i="2"/>
  <c r="U1110" i="2"/>
  <c r="Z1110" i="2" s="1"/>
  <c r="Y1109" i="2"/>
  <c r="U1109" i="2"/>
  <c r="Z1109" i="2" s="1"/>
  <c r="Y1108" i="2"/>
  <c r="U1108" i="2"/>
  <c r="Z1108" i="2" s="1"/>
  <c r="Y1107" i="2"/>
  <c r="U1107" i="2"/>
  <c r="Z1107" i="2" s="1"/>
  <c r="Y1106" i="2"/>
  <c r="U1106" i="2"/>
  <c r="Z1106" i="2" s="1"/>
  <c r="Y1105" i="2"/>
  <c r="U1105" i="2"/>
  <c r="Z1105" i="2" s="1"/>
  <c r="Y1104" i="2"/>
  <c r="U1104" i="2"/>
  <c r="Z1104" i="2" s="1"/>
  <c r="Y1103" i="2"/>
  <c r="U1103" i="2"/>
  <c r="Z1103" i="2" s="1"/>
  <c r="AA1103" i="2" s="1"/>
  <c r="AB1103" i="2" s="1"/>
  <c r="Y1102" i="2"/>
  <c r="U1102" i="2"/>
  <c r="Z1102" i="2" s="1"/>
  <c r="Y1101" i="2"/>
  <c r="U1101" i="2"/>
  <c r="Z1101" i="2" s="1"/>
  <c r="Y1100" i="2"/>
  <c r="U1100" i="2"/>
  <c r="Z1100" i="2" s="1"/>
  <c r="Y1099" i="2"/>
  <c r="U1099" i="2"/>
  <c r="Z1099" i="2" s="1"/>
  <c r="Y1098" i="2"/>
  <c r="U1098" i="2"/>
  <c r="Z1098" i="2" s="1"/>
  <c r="Y1097" i="2"/>
  <c r="U1097" i="2"/>
  <c r="Z1097" i="2" s="1"/>
  <c r="Y1096" i="2"/>
  <c r="U1096" i="2"/>
  <c r="Z1096" i="2" s="1"/>
  <c r="Y1095" i="2"/>
  <c r="U1095" i="2"/>
  <c r="Z1095" i="2" s="1"/>
  <c r="Y1094" i="2"/>
  <c r="U1094" i="2"/>
  <c r="Z1094" i="2" s="1"/>
  <c r="Y1093" i="2"/>
  <c r="U1093" i="2"/>
  <c r="Z1093" i="2" s="1"/>
  <c r="Y1092" i="2"/>
  <c r="U1092" i="2"/>
  <c r="Z1092" i="2" s="1"/>
  <c r="Y1091" i="2"/>
  <c r="U1091" i="2"/>
  <c r="Z1091" i="2" s="1"/>
  <c r="Y1090" i="2"/>
  <c r="U1090" i="2"/>
  <c r="Z1090" i="2" s="1"/>
  <c r="Y1089" i="2"/>
  <c r="U1089" i="2"/>
  <c r="Z1089" i="2" s="1"/>
  <c r="Y1088" i="2"/>
  <c r="U1088" i="2"/>
  <c r="Z1088" i="2" s="1"/>
  <c r="Y1087" i="2"/>
  <c r="U1087" i="2"/>
  <c r="Z1087" i="2" s="1"/>
  <c r="Y1086" i="2"/>
  <c r="U1086" i="2"/>
  <c r="Z1086" i="2" s="1"/>
  <c r="Y1085" i="2"/>
  <c r="U1085" i="2"/>
  <c r="Z1085" i="2" s="1"/>
  <c r="Y1084" i="2"/>
  <c r="U1084" i="2"/>
  <c r="Z1084" i="2" s="1"/>
  <c r="Y1083" i="2"/>
  <c r="U1083" i="2"/>
  <c r="Z1083" i="2" s="1"/>
  <c r="Y1082" i="2"/>
  <c r="U1082" i="2"/>
  <c r="Z1082" i="2" s="1"/>
  <c r="Y1081" i="2"/>
  <c r="U1081" i="2"/>
  <c r="Z1081" i="2" s="1"/>
  <c r="Y1080" i="2"/>
  <c r="U1080" i="2"/>
  <c r="Z1080" i="2" s="1"/>
  <c r="Y1079" i="2"/>
  <c r="U1079" i="2"/>
  <c r="Z1079" i="2" s="1"/>
  <c r="Y1078" i="2"/>
  <c r="U1078" i="2"/>
  <c r="Z1078" i="2" s="1"/>
  <c r="Y1077" i="2"/>
  <c r="U1077" i="2"/>
  <c r="Z1077" i="2" s="1"/>
  <c r="Y1076" i="2"/>
  <c r="U1076" i="2"/>
  <c r="Z1076" i="2" s="1"/>
  <c r="Y1075" i="2"/>
  <c r="U1075" i="2"/>
  <c r="Z1075" i="2" s="1"/>
  <c r="Y1074" i="2"/>
  <c r="U1074" i="2"/>
  <c r="Z1074" i="2" s="1"/>
  <c r="Y1073" i="2"/>
  <c r="U1073" i="2"/>
  <c r="Z1073" i="2" s="1"/>
  <c r="Y1072" i="2"/>
  <c r="U1072" i="2"/>
  <c r="Z1072" i="2" s="1"/>
  <c r="Y1071" i="2"/>
  <c r="U1071" i="2"/>
  <c r="Z1071" i="2" s="1"/>
  <c r="Y1070" i="2"/>
  <c r="U1070" i="2"/>
  <c r="Z1070" i="2" s="1"/>
  <c r="Y1069" i="2"/>
  <c r="U1069" i="2"/>
  <c r="Z1069" i="2" s="1"/>
  <c r="Y1068" i="2"/>
  <c r="U1068" i="2"/>
  <c r="Z1068" i="2" s="1"/>
  <c r="Y1067" i="2"/>
  <c r="U1067" i="2"/>
  <c r="Z1067" i="2" s="1"/>
  <c r="Y1066" i="2"/>
  <c r="U1066" i="2"/>
  <c r="Z1066" i="2" s="1"/>
  <c r="Y1065" i="2"/>
  <c r="U1065" i="2"/>
  <c r="Z1065" i="2" s="1"/>
  <c r="Y1064" i="2"/>
  <c r="U1064" i="2"/>
  <c r="Z1064" i="2" s="1"/>
  <c r="Y1063" i="2"/>
  <c r="U1063" i="2"/>
  <c r="Z1063" i="2" s="1"/>
  <c r="Y1062" i="2"/>
  <c r="U1062" i="2"/>
  <c r="Z1062" i="2" s="1"/>
  <c r="Y1061" i="2"/>
  <c r="U1061" i="2"/>
  <c r="Z1061" i="2" s="1"/>
  <c r="Y1060" i="2"/>
  <c r="U1060" i="2"/>
  <c r="Z1060" i="2" s="1"/>
  <c r="Y1059" i="2"/>
  <c r="U1059" i="2"/>
  <c r="Z1059" i="2" s="1"/>
  <c r="Y1058" i="2"/>
  <c r="U1058" i="2"/>
  <c r="Z1058" i="2" s="1"/>
  <c r="Y1057" i="2"/>
  <c r="U1057" i="2"/>
  <c r="Z1057" i="2" s="1"/>
  <c r="Y1056" i="2"/>
  <c r="U1056" i="2"/>
  <c r="Z1056" i="2" s="1"/>
  <c r="Y1055" i="2"/>
  <c r="U1055" i="2"/>
  <c r="Z1055" i="2" s="1"/>
  <c r="Y1054" i="2"/>
  <c r="U1054" i="2"/>
  <c r="Z1054" i="2" s="1"/>
  <c r="Y1053" i="2"/>
  <c r="U1053" i="2"/>
  <c r="Z1053" i="2" s="1"/>
  <c r="Y1052" i="2"/>
  <c r="U1052" i="2"/>
  <c r="Z1052" i="2" s="1"/>
  <c r="Y1051" i="2"/>
  <c r="U1051" i="2"/>
  <c r="Z1051" i="2" s="1"/>
  <c r="Y1050" i="2"/>
  <c r="U1050" i="2"/>
  <c r="Z1050" i="2" s="1"/>
  <c r="Y1049" i="2"/>
  <c r="U1049" i="2"/>
  <c r="Z1049" i="2" s="1"/>
  <c r="Y1048" i="2"/>
  <c r="U1048" i="2"/>
  <c r="Z1048" i="2" s="1"/>
  <c r="Y1047" i="2"/>
  <c r="U1047" i="2"/>
  <c r="Z1047" i="2" s="1"/>
  <c r="Y1046" i="2"/>
  <c r="U1046" i="2"/>
  <c r="Z1046" i="2" s="1"/>
  <c r="Y1045" i="2"/>
  <c r="U1045" i="2"/>
  <c r="Z1045" i="2" s="1"/>
  <c r="Y1044" i="2"/>
  <c r="U1044" i="2"/>
  <c r="Z1044" i="2" s="1"/>
  <c r="Y1043" i="2"/>
  <c r="U1043" i="2"/>
  <c r="Z1043" i="2" s="1"/>
  <c r="Y1042" i="2"/>
  <c r="U1042" i="2"/>
  <c r="Z1042" i="2" s="1"/>
  <c r="Y1041" i="2"/>
  <c r="U1041" i="2"/>
  <c r="Z1041" i="2" s="1"/>
  <c r="Y1040" i="2"/>
  <c r="U1040" i="2"/>
  <c r="Z1040" i="2" s="1"/>
  <c r="Y1039" i="2"/>
  <c r="U1039" i="2"/>
  <c r="Z1039" i="2" s="1"/>
  <c r="Y1038" i="2"/>
  <c r="U1038" i="2"/>
  <c r="Z1038" i="2" s="1"/>
  <c r="Y1037" i="2"/>
  <c r="U1037" i="2"/>
  <c r="Z1037" i="2" s="1"/>
  <c r="Y1036" i="2"/>
  <c r="U1036" i="2"/>
  <c r="Z1036" i="2" s="1"/>
  <c r="Y1035" i="2"/>
  <c r="U1035" i="2"/>
  <c r="Z1035" i="2" s="1"/>
  <c r="Y1034" i="2"/>
  <c r="U1034" i="2"/>
  <c r="Z1034" i="2" s="1"/>
  <c r="Y1033" i="2"/>
  <c r="U1033" i="2"/>
  <c r="Z1033" i="2" s="1"/>
  <c r="Y1032" i="2"/>
  <c r="U1032" i="2"/>
  <c r="Z1032" i="2" s="1"/>
  <c r="Y1031" i="2"/>
  <c r="U1031" i="2"/>
  <c r="Z1031" i="2" s="1"/>
  <c r="Y1030" i="2"/>
  <c r="U1030" i="2"/>
  <c r="Z1030" i="2" s="1"/>
  <c r="Y1029" i="2"/>
  <c r="U1029" i="2"/>
  <c r="Z1029" i="2" s="1"/>
  <c r="Y1028" i="2"/>
  <c r="U1028" i="2"/>
  <c r="Z1028" i="2" s="1"/>
  <c r="Y1027" i="2"/>
  <c r="U1027" i="2"/>
  <c r="Z1027" i="2" s="1"/>
  <c r="Y1026" i="2"/>
  <c r="U1026" i="2"/>
  <c r="Z1026" i="2" s="1"/>
  <c r="Y1025" i="2"/>
  <c r="U1025" i="2"/>
  <c r="Z1025" i="2" s="1"/>
  <c r="Y1024" i="2"/>
  <c r="U1024" i="2"/>
  <c r="Z1024" i="2" s="1"/>
  <c r="Y1023" i="2"/>
  <c r="U1023" i="2"/>
  <c r="Z1023" i="2" s="1"/>
  <c r="Y1022" i="2"/>
  <c r="U1022" i="2"/>
  <c r="Z1022" i="2" s="1"/>
  <c r="Y1021" i="2"/>
  <c r="U1021" i="2"/>
  <c r="Z1021" i="2" s="1"/>
  <c r="Y1020" i="2"/>
  <c r="U1020" i="2"/>
  <c r="Z1020" i="2" s="1"/>
  <c r="Y1019" i="2"/>
  <c r="U1019" i="2"/>
  <c r="Z1019" i="2" s="1"/>
  <c r="Y1018" i="2"/>
  <c r="U1018" i="2"/>
  <c r="Z1018" i="2" s="1"/>
  <c r="AA1018" i="2" s="1"/>
  <c r="AB1018" i="2" s="1"/>
  <c r="Y1017" i="2"/>
  <c r="U1017" i="2"/>
  <c r="Z1017" i="2" s="1"/>
  <c r="Y1016" i="2"/>
  <c r="U1016" i="2"/>
  <c r="Z1016" i="2" s="1"/>
  <c r="AA1016" i="2" s="1"/>
  <c r="AB1016" i="2" s="1"/>
  <c r="Y1015" i="2"/>
  <c r="U1015" i="2"/>
  <c r="Z1015" i="2" s="1"/>
  <c r="Y1014" i="2"/>
  <c r="U1014" i="2"/>
  <c r="Z1014" i="2" s="1"/>
  <c r="Y1013" i="2"/>
  <c r="U1013" i="2"/>
  <c r="Z1013" i="2" s="1"/>
  <c r="Y1012" i="2"/>
  <c r="U1012" i="2"/>
  <c r="Z1012" i="2" s="1"/>
  <c r="Y1011" i="2"/>
  <c r="U1011" i="2"/>
  <c r="Z1011" i="2" s="1"/>
  <c r="Y1010" i="2"/>
  <c r="U1010" i="2"/>
  <c r="Z1010" i="2" s="1"/>
  <c r="Y1009" i="2"/>
  <c r="U1009" i="2"/>
  <c r="Z1009" i="2" s="1"/>
  <c r="Y1008" i="2"/>
  <c r="U1008" i="2"/>
  <c r="Z1008" i="2" s="1"/>
  <c r="Y1007" i="2"/>
  <c r="U1007" i="2"/>
  <c r="Z1007" i="2" s="1"/>
  <c r="AA1007" i="2" s="1"/>
  <c r="AB1007" i="2" s="1"/>
  <c r="Y1006" i="2"/>
  <c r="U1006" i="2"/>
  <c r="Z1006" i="2" s="1"/>
  <c r="Y1005" i="2"/>
  <c r="U1005" i="2"/>
  <c r="Z1005" i="2" s="1"/>
  <c r="Y1004" i="2"/>
  <c r="U1004" i="2"/>
  <c r="Z1004" i="2" s="1"/>
  <c r="Y1003" i="2"/>
  <c r="U1003" i="2"/>
  <c r="Z1003" i="2" s="1"/>
  <c r="Y1002" i="2"/>
  <c r="U1002" i="2"/>
  <c r="Z1002" i="2" s="1"/>
  <c r="AA1002" i="2" s="1"/>
  <c r="AB1002" i="2" s="1"/>
  <c r="Y1001" i="2"/>
  <c r="U1001" i="2"/>
  <c r="Z1001" i="2" s="1"/>
  <c r="Y1000" i="2"/>
  <c r="U1000" i="2"/>
  <c r="Z1000" i="2" s="1"/>
  <c r="Y999" i="2"/>
  <c r="U999" i="2"/>
  <c r="Z999" i="2" s="1"/>
  <c r="Y998" i="2"/>
  <c r="U998" i="2"/>
  <c r="Z998" i="2" s="1"/>
  <c r="Y997" i="2"/>
  <c r="U997" i="2"/>
  <c r="Z997" i="2" s="1"/>
  <c r="Y996" i="2"/>
  <c r="U996" i="2"/>
  <c r="Z996" i="2" s="1"/>
  <c r="Y995" i="2"/>
  <c r="U995" i="2"/>
  <c r="Z995" i="2" s="1"/>
  <c r="AA995" i="2" s="1"/>
  <c r="AB995" i="2" s="1"/>
  <c r="Y994" i="2"/>
  <c r="U994" i="2"/>
  <c r="Z994" i="2" s="1"/>
  <c r="AA994" i="2" s="1"/>
  <c r="AB994" i="2" s="1"/>
  <c r="Y993" i="2"/>
  <c r="U993" i="2"/>
  <c r="Z993" i="2" s="1"/>
  <c r="Y992" i="2"/>
  <c r="U992" i="2"/>
  <c r="Z992" i="2" s="1"/>
  <c r="Y991" i="2"/>
  <c r="U991" i="2"/>
  <c r="Z991" i="2" s="1"/>
  <c r="Y990" i="2"/>
  <c r="U990" i="2"/>
  <c r="Z990" i="2" s="1"/>
  <c r="Y989" i="2"/>
  <c r="U989" i="2"/>
  <c r="Z989" i="2" s="1"/>
  <c r="Y988" i="2"/>
  <c r="U988" i="2"/>
  <c r="Z988" i="2" s="1"/>
  <c r="Y987" i="2"/>
  <c r="U987" i="2"/>
  <c r="Z987" i="2" s="1"/>
  <c r="Y986" i="2"/>
  <c r="U986" i="2"/>
  <c r="Z986" i="2" s="1"/>
  <c r="Y985" i="2"/>
  <c r="U985" i="2"/>
  <c r="Z985" i="2" s="1"/>
  <c r="Y984" i="2"/>
  <c r="U984" i="2"/>
  <c r="Z984" i="2" s="1"/>
  <c r="Y983" i="2"/>
  <c r="U983" i="2"/>
  <c r="Z983" i="2" s="1"/>
  <c r="Y982" i="2"/>
  <c r="U982" i="2"/>
  <c r="Z982" i="2" s="1"/>
  <c r="Y981" i="2"/>
  <c r="U981" i="2"/>
  <c r="Z981" i="2" s="1"/>
  <c r="Y980" i="2"/>
  <c r="U980" i="2"/>
  <c r="Z980" i="2" s="1"/>
  <c r="Y979" i="2"/>
  <c r="U979" i="2"/>
  <c r="Z979" i="2" s="1"/>
  <c r="Y978" i="2"/>
  <c r="U978" i="2"/>
  <c r="Z978" i="2" s="1"/>
  <c r="Y977" i="2"/>
  <c r="U977" i="2"/>
  <c r="Z977" i="2" s="1"/>
  <c r="Y976" i="2"/>
  <c r="U976" i="2"/>
  <c r="Z976" i="2" s="1"/>
  <c r="Y975" i="2"/>
  <c r="U975" i="2"/>
  <c r="Z975" i="2" s="1"/>
  <c r="Y974" i="2"/>
  <c r="U974" i="2"/>
  <c r="Z974" i="2" s="1"/>
  <c r="Y973" i="2"/>
  <c r="U973" i="2"/>
  <c r="Z973" i="2" s="1"/>
  <c r="Y972" i="2"/>
  <c r="U972" i="2"/>
  <c r="Z972" i="2" s="1"/>
  <c r="Y971" i="2"/>
  <c r="U971" i="2"/>
  <c r="Z971" i="2" s="1"/>
  <c r="Y970" i="2"/>
  <c r="U970" i="2"/>
  <c r="Z970" i="2" s="1"/>
  <c r="Y969" i="2"/>
  <c r="U969" i="2"/>
  <c r="Z969" i="2" s="1"/>
  <c r="Y968" i="2"/>
  <c r="U968" i="2"/>
  <c r="Z968" i="2" s="1"/>
  <c r="Y967" i="2"/>
  <c r="U967" i="2"/>
  <c r="Z967" i="2" s="1"/>
  <c r="Y966" i="2"/>
  <c r="U966" i="2"/>
  <c r="Z966" i="2" s="1"/>
  <c r="Y965" i="2"/>
  <c r="U965" i="2"/>
  <c r="Z965" i="2" s="1"/>
  <c r="Y964" i="2"/>
  <c r="U964" i="2"/>
  <c r="Z964" i="2" s="1"/>
  <c r="Y963" i="2"/>
  <c r="U963" i="2"/>
  <c r="Z963" i="2" s="1"/>
  <c r="Y962" i="2"/>
  <c r="U962" i="2"/>
  <c r="Z962" i="2" s="1"/>
  <c r="Y961" i="2"/>
  <c r="U961" i="2"/>
  <c r="Z961" i="2" s="1"/>
  <c r="Y960" i="2"/>
  <c r="U960" i="2"/>
  <c r="Z960" i="2" s="1"/>
  <c r="Y959" i="2"/>
  <c r="U959" i="2"/>
  <c r="Z959" i="2" s="1"/>
  <c r="Y958" i="2"/>
  <c r="U958" i="2"/>
  <c r="Z958" i="2" s="1"/>
  <c r="Y957" i="2"/>
  <c r="U957" i="2"/>
  <c r="Z957" i="2" s="1"/>
  <c r="Y956" i="2"/>
  <c r="U956" i="2"/>
  <c r="Z956" i="2" s="1"/>
  <c r="Y955" i="2"/>
  <c r="U955" i="2"/>
  <c r="Z955" i="2" s="1"/>
  <c r="Y954" i="2"/>
  <c r="U954" i="2"/>
  <c r="Z954" i="2" s="1"/>
  <c r="Y953" i="2"/>
  <c r="U953" i="2"/>
  <c r="Z953" i="2" s="1"/>
  <c r="Y952" i="2"/>
  <c r="U952" i="2"/>
  <c r="Z952" i="2" s="1"/>
  <c r="Y951" i="2"/>
  <c r="U951" i="2"/>
  <c r="Z951" i="2" s="1"/>
  <c r="Y950" i="2"/>
  <c r="U950" i="2"/>
  <c r="Z950" i="2" s="1"/>
  <c r="Y949" i="2"/>
  <c r="U949" i="2"/>
  <c r="Z949" i="2" s="1"/>
  <c r="Y948" i="2"/>
  <c r="U948" i="2"/>
  <c r="Z948" i="2" s="1"/>
  <c r="Y947" i="2"/>
  <c r="U947" i="2"/>
  <c r="Z947" i="2" s="1"/>
  <c r="Y946" i="2"/>
  <c r="U946" i="2"/>
  <c r="Z946" i="2" s="1"/>
  <c r="Y945" i="2"/>
  <c r="U945" i="2"/>
  <c r="Z945" i="2" s="1"/>
  <c r="AA945" i="2" s="1"/>
  <c r="AB945" i="2" s="1"/>
  <c r="Y944" i="2"/>
  <c r="U944" i="2"/>
  <c r="Z944" i="2" s="1"/>
  <c r="Y943" i="2"/>
  <c r="U943" i="2"/>
  <c r="Z943" i="2" s="1"/>
  <c r="Y942" i="2"/>
  <c r="U942" i="2"/>
  <c r="Z942" i="2" s="1"/>
  <c r="Y941" i="2"/>
  <c r="U941" i="2"/>
  <c r="Z941" i="2" s="1"/>
  <c r="Y940" i="2"/>
  <c r="U940" i="2"/>
  <c r="Z940" i="2" s="1"/>
  <c r="Y939" i="2"/>
  <c r="U939" i="2"/>
  <c r="Z939" i="2" s="1"/>
  <c r="Y938" i="2"/>
  <c r="U938" i="2"/>
  <c r="Z938" i="2" s="1"/>
  <c r="Y937" i="2"/>
  <c r="U937" i="2"/>
  <c r="Z937" i="2" s="1"/>
  <c r="Y936" i="2"/>
  <c r="U936" i="2"/>
  <c r="Z936" i="2" s="1"/>
  <c r="Y935" i="2"/>
  <c r="U935" i="2"/>
  <c r="Z935" i="2" s="1"/>
  <c r="Y934" i="2"/>
  <c r="U934" i="2"/>
  <c r="Z934" i="2" s="1"/>
  <c r="Y933" i="2"/>
  <c r="U933" i="2"/>
  <c r="Z933" i="2" s="1"/>
  <c r="Y932" i="2"/>
  <c r="U932" i="2"/>
  <c r="Z932" i="2" s="1"/>
  <c r="Y931" i="2"/>
  <c r="U931" i="2"/>
  <c r="Z931" i="2" s="1"/>
  <c r="Y930" i="2"/>
  <c r="U930" i="2"/>
  <c r="Z930" i="2" s="1"/>
  <c r="Y929" i="2"/>
  <c r="U929" i="2"/>
  <c r="Z929" i="2" s="1"/>
  <c r="Y928" i="2"/>
  <c r="U928" i="2"/>
  <c r="Z928" i="2" s="1"/>
  <c r="Y927" i="2"/>
  <c r="U927" i="2"/>
  <c r="Z927" i="2" s="1"/>
  <c r="Y926" i="2"/>
  <c r="U926" i="2"/>
  <c r="Z926" i="2" s="1"/>
  <c r="Y925" i="2"/>
  <c r="U925" i="2"/>
  <c r="Z925" i="2" s="1"/>
  <c r="Y924" i="2"/>
  <c r="U924" i="2"/>
  <c r="Z924" i="2" s="1"/>
  <c r="Y923" i="2"/>
  <c r="U923" i="2"/>
  <c r="Z923" i="2" s="1"/>
  <c r="Y922" i="2"/>
  <c r="U922" i="2"/>
  <c r="Z922" i="2" s="1"/>
  <c r="Y921" i="2"/>
  <c r="U921" i="2"/>
  <c r="Z921" i="2" s="1"/>
  <c r="Y920" i="2"/>
  <c r="U920" i="2"/>
  <c r="Z920" i="2" s="1"/>
  <c r="Y919" i="2"/>
  <c r="U919" i="2"/>
  <c r="Z919" i="2" s="1"/>
  <c r="Y918" i="2"/>
  <c r="U918" i="2"/>
  <c r="Z918" i="2" s="1"/>
  <c r="Y917" i="2"/>
  <c r="U917" i="2"/>
  <c r="Z917" i="2" s="1"/>
  <c r="Y916" i="2"/>
  <c r="U916" i="2"/>
  <c r="Z916" i="2" s="1"/>
  <c r="Y915" i="2"/>
  <c r="U915" i="2"/>
  <c r="Z915" i="2" s="1"/>
  <c r="Y914" i="2"/>
  <c r="U914" i="2"/>
  <c r="Z914" i="2" s="1"/>
  <c r="Y913" i="2"/>
  <c r="U913" i="2"/>
  <c r="Z913" i="2" s="1"/>
  <c r="Y912" i="2"/>
  <c r="U912" i="2"/>
  <c r="Z912" i="2" s="1"/>
  <c r="Y911" i="2"/>
  <c r="U911" i="2"/>
  <c r="Z911" i="2" s="1"/>
  <c r="Y910" i="2"/>
  <c r="U910" i="2"/>
  <c r="Z910" i="2" s="1"/>
  <c r="Y909" i="2"/>
  <c r="U909" i="2"/>
  <c r="Z909" i="2" s="1"/>
  <c r="Y908" i="2"/>
  <c r="U908" i="2"/>
  <c r="Z908" i="2" s="1"/>
  <c r="Y907" i="2"/>
  <c r="U907" i="2"/>
  <c r="Z907" i="2" s="1"/>
  <c r="Y906" i="2"/>
  <c r="U906" i="2"/>
  <c r="Z906" i="2" s="1"/>
  <c r="Y905" i="2"/>
  <c r="U905" i="2"/>
  <c r="Z905" i="2" s="1"/>
  <c r="Y904" i="2"/>
  <c r="U904" i="2"/>
  <c r="Z904" i="2" s="1"/>
  <c r="Y903" i="2"/>
  <c r="U903" i="2"/>
  <c r="Z903" i="2" s="1"/>
  <c r="Y902" i="2"/>
  <c r="U902" i="2"/>
  <c r="Z902" i="2" s="1"/>
  <c r="Y901" i="2"/>
  <c r="U901" i="2"/>
  <c r="Z901" i="2" s="1"/>
  <c r="Y900" i="2"/>
  <c r="U900" i="2"/>
  <c r="Z900" i="2" s="1"/>
  <c r="Y899" i="2"/>
  <c r="U899" i="2"/>
  <c r="Z899" i="2" s="1"/>
  <c r="Y898" i="2"/>
  <c r="U898" i="2"/>
  <c r="Z898" i="2" s="1"/>
  <c r="Y897" i="2"/>
  <c r="U897" i="2"/>
  <c r="Z897" i="2" s="1"/>
  <c r="AA897" i="2" s="1"/>
  <c r="AB897" i="2" s="1"/>
  <c r="Y896" i="2"/>
  <c r="U896" i="2"/>
  <c r="Z896" i="2" s="1"/>
  <c r="Y895" i="2"/>
  <c r="U895" i="2"/>
  <c r="Z895" i="2" s="1"/>
  <c r="Y894" i="2"/>
  <c r="U894" i="2"/>
  <c r="Z894" i="2" s="1"/>
  <c r="Y893" i="2"/>
  <c r="U893" i="2"/>
  <c r="Z893" i="2" s="1"/>
  <c r="Y892" i="2"/>
  <c r="U892" i="2"/>
  <c r="Z892" i="2" s="1"/>
  <c r="Y891" i="2"/>
  <c r="U891" i="2"/>
  <c r="Z891" i="2" s="1"/>
  <c r="Y890" i="2"/>
  <c r="U890" i="2"/>
  <c r="Z890" i="2" s="1"/>
  <c r="Y889" i="2"/>
  <c r="U889" i="2"/>
  <c r="Z889" i="2" s="1"/>
  <c r="Y888" i="2"/>
  <c r="U888" i="2"/>
  <c r="Z888" i="2" s="1"/>
  <c r="Y887" i="2"/>
  <c r="U887" i="2"/>
  <c r="Z887" i="2" s="1"/>
  <c r="Y886" i="2"/>
  <c r="U886" i="2"/>
  <c r="Z886" i="2" s="1"/>
  <c r="Y885" i="2"/>
  <c r="U885" i="2"/>
  <c r="Z885" i="2" s="1"/>
  <c r="Y884" i="2"/>
  <c r="U884" i="2"/>
  <c r="Z884" i="2" s="1"/>
  <c r="Y883" i="2"/>
  <c r="U883" i="2"/>
  <c r="Z883" i="2" s="1"/>
  <c r="Y882" i="2"/>
  <c r="U882" i="2"/>
  <c r="Z882" i="2" s="1"/>
  <c r="Y881" i="2"/>
  <c r="U881" i="2"/>
  <c r="Z881" i="2" s="1"/>
  <c r="Y880" i="2"/>
  <c r="U880" i="2"/>
  <c r="Z880" i="2" s="1"/>
  <c r="Y879" i="2"/>
  <c r="U879" i="2"/>
  <c r="Z879" i="2" s="1"/>
  <c r="Y878" i="2"/>
  <c r="U878" i="2"/>
  <c r="Z878" i="2" s="1"/>
  <c r="Y877" i="2"/>
  <c r="U877" i="2"/>
  <c r="Z877" i="2" s="1"/>
  <c r="Y876" i="2"/>
  <c r="U876" i="2"/>
  <c r="Z876" i="2" s="1"/>
  <c r="Y875" i="2"/>
  <c r="U875" i="2"/>
  <c r="Z875" i="2" s="1"/>
  <c r="Y874" i="2"/>
  <c r="U874" i="2"/>
  <c r="Z874" i="2" s="1"/>
  <c r="Y873" i="2"/>
  <c r="U873" i="2"/>
  <c r="Z873" i="2" s="1"/>
  <c r="Y872" i="2"/>
  <c r="U872" i="2"/>
  <c r="Z872" i="2" s="1"/>
  <c r="Y871" i="2"/>
  <c r="U871" i="2"/>
  <c r="Z871" i="2" s="1"/>
  <c r="Y870" i="2"/>
  <c r="U870" i="2"/>
  <c r="Z870" i="2" s="1"/>
  <c r="Y869" i="2"/>
  <c r="U869" i="2"/>
  <c r="Z869" i="2" s="1"/>
  <c r="Y868" i="2"/>
  <c r="U868" i="2"/>
  <c r="Z868" i="2" s="1"/>
  <c r="Y867" i="2"/>
  <c r="U867" i="2"/>
  <c r="Z867" i="2" s="1"/>
  <c r="Y866" i="2"/>
  <c r="U866" i="2"/>
  <c r="Z866" i="2" s="1"/>
  <c r="Y865" i="2"/>
  <c r="U865" i="2"/>
  <c r="Z865" i="2" s="1"/>
  <c r="Y864" i="2"/>
  <c r="U864" i="2"/>
  <c r="Z864" i="2" s="1"/>
  <c r="Y863" i="2"/>
  <c r="U863" i="2"/>
  <c r="Z863" i="2" s="1"/>
  <c r="AA863" i="2" s="1"/>
  <c r="AB863" i="2" s="1"/>
  <c r="Y862" i="2"/>
  <c r="U862" i="2"/>
  <c r="Z862" i="2" s="1"/>
  <c r="Y861" i="2"/>
  <c r="U861" i="2"/>
  <c r="Z861" i="2" s="1"/>
  <c r="Y860" i="2"/>
  <c r="U860" i="2"/>
  <c r="Z860" i="2" s="1"/>
  <c r="Y859" i="2"/>
  <c r="U859" i="2"/>
  <c r="Z859" i="2" s="1"/>
  <c r="Y858" i="2"/>
  <c r="U858" i="2"/>
  <c r="Z858" i="2" s="1"/>
  <c r="Y857" i="2"/>
  <c r="U857" i="2"/>
  <c r="Z857" i="2" s="1"/>
  <c r="Y856" i="2"/>
  <c r="U856" i="2"/>
  <c r="Z856" i="2" s="1"/>
  <c r="Y855" i="2"/>
  <c r="U855" i="2"/>
  <c r="Z855" i="2" s="1"/>
  <c r="Y854" i="2"/>
  <c r="U854" i="2"/>
  <c r="Z854" i="2" s="1"/>
  <c r="Y853" i="2"/>
  <c r="U853" i="2"/>
  <c r="Z853" i="2" s="1"/>
  <c r="Y852" i="2"/>
  <c r="U852" i="2"/>
  <c r="Z852" i="2" s="1"/>
  <c r="Y851" i="2"/>
  <c r="U851" i="2"/>
  <c r="Z851" i="2" s="1"/>
  <c r="Y850" i="2"/>
  <c r="U850" i="2"/>
  <c r="Z850" i="2" s="1"/>
  <c r="Y849" i="2"/>
  <c r="U849" i="2"/>
  <c r="Z849" i="2" s="1"/>
  <c r="AA849" i="2" s="1"/>
  <c r="AB849" i="2" s="1"/>
  <c r="Y848" i="2"/>
  <c r="U848" i="2"/>
  <c r="Z848" i="2" s="1"/>
  <c r="Y847" i="2"/>
  <c r="U847" i="2"/>
  <c r="Z847" i="2" s="1"/>
  <c r="Y846" i="2"/>
  <c r="U846" i="2"/>
  <c r="Z846" i="2" s="1"/>
  <c r="Y845" i="2"/>
  <c r="U845" i="2"/>
  <c r="Z845" i="2" s="1"/>
  <c r="Y844" i="2"/>
  <c r="U844" i="2"/>
  <c r="Z844" i="2" s="1"/>
  <c r="Y843" i="2"/>
  <c r="U843" i="2"/>
  <c r="Z843" i="2" s="1"/>
  <c r="Z842" i="2"/>
  <c r="Y842" i="2"/>
  <c r="U842" i="2"/>
  <c r="Y841" i="2"/>
  <c r="U841" i="2"/>
  <c r="Z841" i="2" s="1"/>
  <c r="Y840" i="2"/>
  <c r="U840" i="2"/>
  <c r="Z840" i="2" s="1"/>
  <c r="Y839" i="2"/>
  <c r="U839" i="2"/>
  <c r="Z839" i="2" s="1"/>
  <c r="Y838" i="2"/>
  <c r="U838" i="2"/>
  <c r="Z838" i="2" s="1"/>
  <c r="Y837" i="2"/>
  <c r="U837" i="2"/>
  <c r="Z837" i="2" s="1"/>
  <c r="Y836" i="2"/>
  <c r="U836" i="2"/>
  <c r="Z836" i="2" s="1"/>
  <c r="Y835" i="2"/>
  <c r="U835" i="2"/>
  <c r="Z835" i="2" s="1"/>
  <c r="Y834" i="2"/>
  <c r="U834" i="2"/>
  <c r="Z834" i="2" s="1"/>
  <c r="Y833" i="2"/>
  <c r="U833" i="2"/>
  <c r="Z833" i="2" s="1"/>
  <c r="Y832" i="2"/>
  <c r="U832" i="2"/>
  <c r="Z832" i="2" s="1"/>
  <c r="Y831" i="2"/>
  <c r="U831" i="2"/>
  <c r="Z831" i="2" s="1"/>
  <c r="Y830" i="2"/>
  <c r="U830" i="2"/>
  <c r="Z830" i="2" s="1"/>
  <c r="Y829" i="2"/>
  <c r="U829" i="2"/>
  <c r="Z829" i="2" s="1"/>
  <c r="Y828" i="2"/>
  <c r="U828" i="2"/>
  <c r="Z828" i="2" s="1"/>
  <c r="Y827" i="2"/>
  <c r="U827" i="2"/>
  <c r="Z827" i="2" s="1"/>
  <c r="Y826" i="2"/>
  <c r="U826" i="2"/>
  <c r="Z826" i="2" s="1"/>
  <c r="Y825" i="2"/>
  <c r="U825" i="2"/>
  <c r="Z825" i="2" s="1"/>
  <c r="Y824" i="2"/>
  <c r="U824" i="2"/>
  <c r="Z824" i="2" s="1"/>
  <c r="Y823" i="2"/>
  <c r="U823" i="2"/>
  <c r="Z823" i="2" s="1"/>
  <c r="Y822" i="2"/>
  <c r="U822" i="2"/>
  <c r="Z822" i="2" s="1"/>
  <c r="Y821" i="2"/>
  <c r="U821" i="2"/>
  <c r="Z821" i="2" s="1"/>
  <c r="Y820" i="2"/>
  <c r="U820" i="2"/>
  <c r="Z820" i="2" s="1"/>
  <c r="Y819" i="2"/>
  <c r="U819" i="2"/>
  <c r="Z819" i="2" s="1"/>
  <c r="Y818" i="2"/>
  <c r="U818" i="2"/>
  <c r="Z818" i="2" s="1"/>
  <c r="Y817" i="2"/>
  <c r="U817" i="2"/>
  <c r="Z817" i="2" s="1"/>
  <c r="Y816" i="2"/>
  <c r="U816" i="2"/>
  <c r="Z816" i="2" s="1"/>
  <c r="Y815" i="2"/>
  <c r="U815" i="2"/>
  <c r="Z815" i="2" s="1"/>
  <c r="Y814" i="2"/>
  <c r="U814" i="2"/>
  <c r="Z814" i="2" s="1"/>
  <c r="Y813" i="2"/>
  <c r="U813" i="2"/>
  <c r="Z813" i="2" s="1"/>
  <c r="Y812" i="2"/>
  <c r="U812" i="2"/>
  <c r="Z812" i="2" s="1"/>
  <c r="Y811" i="2"/>
  <c r="U811" i="2"/>
  <c r="Z811" i="2" s="1"/>
  <c r="Y810" i="2"/>
  <c r="U810" i="2"/>
  <c r="Z810" i="2" s="1"/>
  <c r="Y809" i="2"/>
  <c r="U809" i="2"/>
  <c r="Z809" i="2" s="1"/>
  <c r="Y808" i="2"/>
  <c r="U808" i="2"/>
  <c r="Z808" i="2" s="1"/>
  <c r="Y807" i="2"/>
  <c r="U807" i="2"/>
  <c r="Z807" i="2" s="1"/>
  <c r="Y806" i="2"/>
  <c r="U806" i="2"/>
  <c r="Z806" i="2" s="1"/>
  <c r="Y805" i="2"/>
  <c r="U805" i="2"/>
  <c r="Z805" i="2" s="1"/>
  <c r="Y804" i="2"/>
  <c r="U804" i="2"/>
  <c r="Z804" i="2" s="1"/>
  <c r="Y803" i="2"/>
  <c r="U803" i="2"/>
  <c r="Z803" i="2" s="1"/>
  <c r="Y802" i="2"/>
  <c r="U802" i="2"/>
  <c r="Z802" i="2" s="1"/>
  <c r="Y801" i="2"/>
  <c r="U801" i="2"/>
  <c r="Z801" i="2" s="1"/>
  <c r="Y800" i="2"/>
  <c r="U800" i="2"/>
  <c r="Z800" i="2" s="1"/>
  <c r="Y799" i="2"/>
  <c r="U799" i="2"/>
  <c r="Z799" i="2" s="1"/>
  <c r="Y798" i="2"/>
  <c r="U798" i="2"/>
  <c r="Z798" i="2" s="1"/>
  <c r="Y797" i="2"/>
  <c r="U797" i="2"/>
  <c r="Z797" i="2" s="1"/>
  <c r="Y796" i="2"/>
  <c r="U796" i="2"/>
  <c r="Z796" i="2" s="1"/>
  <c r="Y795" i="2"/>
  <c r="U795" i="2"/>
  <c r="Z795" i="2" s="1"/>
  <c r="Y794" i="2"/>
  <c r="U794" i="2"/>
  <c r="Z794" i="2" s="1"/>
  <c r="Y793" i="2"/>
  <c r="U793" i="2"/>
  <c r="Z793" i="2" s="1"/>
  <c r="Y792" i="2"/>
  <c r="U792" i="2"/>
  <c r="Z792" i="2" s="1"/>
  <c r="Y791" i="2"/>
  <c r="U791" i="2"/>
  <c r="Z791" i="2" s="1"/>
  <c r="Y790" i="2"/>
  <c r="U790" i="2"/>
  <c r="Z790" i="2" s="1"/>
  <c r="Y789" i="2"/>
  <c r="U789" i="2"/>
  <c r="Z789" i="2" s="1"/>
  <c r="Y788" i="2"/>
  <c r="U788" i="2"/>
  <c r="Z788" i="2" s="1"/>
  <c r="Y787" i="2"/>
  <c r="U787" i="2"/>
  <c r="Z787" i="2" s="1"/>
  <c r="Y786" i="2"/>
  <c r="U786" i="2"/>
  <c r="Z786" i="2" s="1"/>
  <c r="Y785" i="2"/>
  <c r="U785" i="2"/>
  <c r="Z785" i="2" s="1"/>
  <c r="Y784" i="2"/>
  <c r="U784" i="2"/>
  <c r="Z784" i="2" s="1"/>
  <c r="Y783" i="2"/>
  <c r="U783" i="2"/>
  <c r="Z783" i="2" s="1"/>
  <c r="Y782" i="2"/>
  <c r="U782" i="2"/>
  <c r="Z782" i="2" s="1"/>
  <c r="Y781" i="2"/>
  <c r="U781" i="2"/>
  <c r="Z781" i="2" s="1"/>
  <c r="Y780" i="2"/>
  <c r="U780" i="2"/>
  <c r="Z780" i="2" s="1"/>
  <c r="Y779" i="2"/>
  <c r="U779" i="2"/>
  <c r="Z779" i="2" s="1"/>
  <c r="Y778" i="2"/>
  <c r="U778" i="2"/>
  <c r="Z778" i="2" s="1"/>
  <c r="Y777" i="2"/>
  <c r="U777" i="2"/>
  <c r="Z777" i="2" s="1"/>
  <c r="Y776" i="2"/>
  <c r="U776" i="2"/>
  <c r="Z776" i="2" s="1"/>
  <c r="Y775" i="2"/>
  <c r="U775" i="2"/>
  <c r="Z775" i="2" s="1"/>
  <c r="Y774" i="2"/>
  <c r="U774" i="2"/>
  <c r="Z774" i="2" s="1"/>
  <c r="Y773" i="2"/>
  <c r="U773" i="2"/>
  <c r="Z773" i="2" s="1"/>
  <c r="Y772" i="2"/>
  <c r="U772" i="2"/>
  <c r="Z772" i="2" s="1"/>
  <c r="Y771" i="2"/>
  <c r="U771" i="2"/>
  <c r="Z771" i="2" s="1"/>
  <c r="Y770" i="2"/>
  <c r="U770" i="2"/>
  <c r="Z770" i="2" s="1"/>
  <c r="Y769" i="2"/>
  <c r="U769" i="2"/>
  <c r="Z769" i="2" s="1"/>
  <c r="Y768" i="2"/>
  <c r="U768" i="2"/>
  <c r="Z768" i="2" s="1"/>
  <c r="Y767" i="2"/>
  <c r="U767" i="2"/>
  <c r="Z767" i="2" s="1"/>
  <c r="Y766" i="2"/>
  <c r="U766" i="2"/>
  <c r="Z766" i="2" s="1"/>
  <c r="Y765" i="2"/>
  <c r="U765" i="2"/>
  <c r="Z765" i="2" s="1"/>
  <c r="Y764" i="2"/>
  <c r="U764" i="2"/>
  <c r="Z764" i="2" s="1"/>
  <c r="Y763" i="2"/>
  <c r="U763" i="2"/>
  <c r="Z763" i="2" s="1"/>
  <c r="Y762" i="2"/>
  <c r="U762" i="2"/>
  <c r="Z762" i="2" s="1"/>
  <c r="Y761" i="2"/>
  <c r="U761" i="2"/>
  <c r="Z761" i="2" s="1"/>
  <c r="Y760" i="2"/>
  <c r="U760" i="2"/>
  <c r="Z760" i="2" s="1"/>
  <c r="Y759" i="2"/>
  <c r="U759" i="2"/>
  <c r="Z759" i="2" s="1"/>
  <c r="Y758" i="2"/>
  <c r="U758" i="2"/>
  <c r="Z758" i="2" s="1"/>
  <c r="Y757" i="2"/>
  <c r="U757" i="2"/>
  <c r="Z757" i="2" s="1"/>
  <c r="Y756" i="2"/>
  <c r="U756" i="2"/>
  <c r="Z756" i="2" s="1"/>
  <c r="Y755" i="2"/>
  <c r="U755" i="2"/>
  <c r="Z755" i="2" s="1"/>
  <c r="Y754" i="2"/>
  <c r="U754" i="2"/>
  <c r="Z754" i="2" s="1"/>
  <c r="Y753" i="2"/>
  <c r="U753" i="2"/>
  <c r="Z753" i="2" s="1"/>
  <c r="Y752" i="2"/>
  <c r="U752" i="2"/>
  <c r="Z752" i="2" s="1"/>
  <c r="Y751" i="2"/>
  <c r="U751" i="2"/>
  <c r="Z751" i="2" s="1"/>
  <c r="Y750" i="2"/>
  <c r="U750" i="2"/>
  <c r="Z750" i="2" s="1"/>
  <c r="Y749" i="2"/>
  <c r="U749" i="2"/>
  <c r="Z749" i="2" s="1"/>
  <c r="Y748" i="2"/>
  <c r="U748" i="2"/>
  <c r="Z748" i="2" s="1"/>
  <c r="Y747" i="2"/>
  <c r="U747" i="2"/>
  <c r="Z747" i="2" s="1"/>
  <c r="Y746" i="2"/>
  <c r="U746" i="2"/>
  <c r="Z746" i="2" s="1"/>
  <c r="Y745" i="2"/>
  <c r="U745" i="2"/>
  <c r="Z745" i="2" s="1"/>
  <c r="Y744" i="2"/>
  <c r="U744" i="2"/>
  <c r="Z744" i="2" s="1"/>
  <c r="Y743" i="2"/>
  <c r="U743" i="2"/>
  <c r="Z743" i="2" s="1"/>
  <c r="Y742" i="2"/>
  <c r="U742" i="2"/>
  <c r="Z742" i="2" s="1"/>
  <c r="Y741" i="2"/>
  <c r="U741" i="2"/>
  <c r="Z741" i="2" s="1"/>
  <c r="Y740" i="2"/>
  <c r="U740" i="2"/>
  <c r="Z740" i="2" s="1"/>
  <c r="Y739" i="2"/>
  <c r="U739" i="2"/>
  <c r="Z739" i="2" s="1"/>
  <c r="Y738" i="2"/>
  <c r="U738" i="2"/>
  <c r="Z738" i="2" s="1"/>
  <c r="Y737" i="2"/>
  <c r="U737" i="2"/>
  <c r="Z737" i="2" s="1"/>
  <c r="Y736" i="2"/>
  <c r="U736" i="2"/>
  <c r="Z736" i="2" s="1"/>
  <c r="Y735" i="2"/>
  <c r="U735" i="2"/>
  <c r="Z735" i="2" s="1"/>
  <c r="Y734" i="2"/>
  <c r="U734" i="2"/>
  <c r="Z734" i="2" s="1"/>
  <c r="Y733" i="2"/>
  <c r="U733" i="2"/>
  <c r="Z733" i="2" s="1"/>
  <c r="Y732" i="2"/>
  <c r="U732" i="2"/>
  <c r="Z732" i="2" s="1"/>
  <c r="Y731" i="2"/>
  <c r="U731" i="2"/>
  <c r="Z731" i="2" s="1"/>
  <c r="Y730" i="2"/>
  <c r="U730" i="2"/>
  <c r="Z730" i="2" s="1"/>
  <c r="Y729" i="2"/>
  <c r="U729" i="2"/>
  <c r="Z729" i="2" s="1"/>
  <c r="Y728" i="2"/>
  <c r="U728" i="2"/>
  <c r="Z728" i="2" s="1"/>
  <c r="Y727" i="2"/>
  <c r="U727" i="2"/>
  <c r="Z727" i="2" s="1"/>
  <c r="Y726" i="2"/>
  <c r="U726" i="2"/>
  <c r="Z726" i="2" s="1"/>
  <c r="Y725" i="2"/>
  <c r="U725" i="2"/>
  <c r="Z725" i="2" s="1"/>
  <c r="Y724" i="2"/>
  <c r="U724" i="2"/>
  <c r="Z724" i="2" s="1"/>
  <c r="Y723" i="2"/>
  <c r="U723" i="2"/>
  <c r="Z723" i="2" s="1"/>
  <c r="Y722" i="2"/>
  <c r="U722" i="2"/>
  <c r="Z722" i="2" s="1"/>
  <c r="Y721" i="2"/>
  <c r="U721" i="2"/>
  <c r="Z721" i="2" s="1"/>
  <c r="Y720" i="2"/>
  <c r="U720" i="2"/>
  <c r="Z720" i="2" s="1"/>
  <c r="Y719" i="2"/>
  <c r="U719" i="2"/>
  <c r="Z719" i="2" s="1"/>
  <c r="Y718" i="2"/>
  <c r="U718" i="2"/>
  <c r="Z718" i="2" s="1"/>
  <c r="Y717" i="2"/>
  <c r="U717" i="2"/>
  <c r="Z717" i="2" s="1"/>
  <c r="Y716" i="2"/>
  <c r="U716" i="2"/>
  <c r="Z716" i="2" s="1"/>
  <c r="Y715" i="2"/>
  <c r="U715" i="2"/>
  <c r="Z715" i="2" s="1"/>
  <c r="Y714" i="2"/>
  <c r="U714" i="2"/>
  <c r="Z714" i="2" s="1"/>
  <c r="Y713" i="2"/>
  <c r="U713" i="2"/>
  <c r="Z713" i="2" s="1"/>
  <c r="Y712" i="2"/>
  <c r="U712" i="2"/>
  <c r="Z712" i="2" s="1"/>
  <c r="Y711" i="2"/>
  <c r="U711" i="2"/>
  <c r="Z711" i="2" s="1"/>
  <c r="Y710" i="2"/>
  <c r="U710" i="2"/>
  <c r="Z710" i="2" s="1"/>
  <c r="Y709" i="2"/>
  <c r="U709" i="2"/>
  <c r="Z709" i="2" s="1"/>
  <c r="Y708" i="2"/>
  <c r="U708" i="2"/>
  <c r="Z708" i="2" s="1"/>
  <c r="Y707" i="2"/>
  <c r="U707" i="2"/>
  <c r="Z707" i="2" s="1"/>
  <c r="Y706" i="2"/>
  <c r="U706" i="2"/>
  <c r="Z706" i="2" s="1"/>
  <c r="Y705" i="2"/>
  <c r="U705" i="2"/>
  <c r="Z705" i="2" s="1"/>
  <c r="Y704" i="2"/>
  <c r="U704" i="2"/>
  <c r="Z704" i="2" s="1"/>
  <c r="Y703" i="2"/>
  <c r="U703" i="2"/>
  <c r="Z703" i="2" s="1"/>
  <c r="Y702" i="2"/>
  <c r="U702" i="2"/>
  <c r="Z702" i="2" s="1"/>
  <c r="Y701" i="2"/>
  <c r="U701" i="2"/>
  <c r="Z701" i="2" s="1"/>
  <c r="Y700" i="2"/>
  <c r="U700" i="2"/>
  <c r="Z700" i="2" s="1"/>
  <c r="Y699" i="2"/>
  <c r="U699" i="2"/>
  <c r="Z699" i="2" s="1"/>
  <c r="Y698" i="2"/>
  <c r="U698" i="2"/>
  <c r="Z698" i="2" s="1"/>
  <c r="Y697" i="2"/>
  <c r="U697" i="2"/>
  <c r="Z697" i="2" s="1"/>
  <c r="Y696" i="2"/>
  <c r="U696" i="2"/>
  <c r="Z696" i="2" s="1"/>
  <c r="Y695" i="2"/>
  <c r="U695" i="2"/>
  <c r="Z695" i="2" s="1"/>
  <c r="Y694" i="2"/>
  <c r="U694" i="2"/>
  <c r="Z694" i="2" s="1"/>
  <c r="Y693" i="2"/>
  <c r="U693" i="2"/>
  <c r="Z693" i="2" s="1"/>
  <c r="Y692" i="2"/>
  <c r="U692" i="2"/>
  <c r="Z692" i="2" s="1"/>
  <c r="Y691" i="2"/>
  <c r="U691" i="2"/>
  <c r="Z691" i="2" s="1"/>
  <c r="Y690" i="2"/>
  <c r="U690" i="2"/>
  <c r="Z690" i="2" s="1"/>
  <c r="Y689" i="2"/>
  <c r="U689" i="2"/>
  <c r="Z689" i="2" s="1"/>
  <c r="Y688" i="2"/>
  <c r="U688" i="2"/>
  <c r="Z688" i="2" s="1"/>
  <c r="Y687" i="2"/>
  <c r="U687" i="2"/>
  <c r="Z687" i="2" s="1"/>
  <c r="Y686" i="2"/>
  <c r="U686" i="2"/>
  <c r="Z686" i="2" s="1"/>
  <c r="Y685" i="2"/>
  <c r="U685" i="2"/>
  <c r="Z685" i="2" s="1"/>
  <c r="Y684" i="2"/>
  <c r="U684" i="2"/>
  <c r="Z684" i="2" s="1"/>
  <c r="Y683" i="2"/>
  <c r="U683" i="2"/>
  <c r="Z683" i="2" s="1"/>
  <c r="Y682" i="2"/>
  <c r="U682" i="2"/>
  <c r="Z682" i="2" s="1"/>
  <c r="Y681" i="2"/>
  <c r="U681" i="2"/>
  <c r="Z681" i="2" s="1"/>
  <c r="Y680" i="2"/>
  <c r="U680" i="2"/>
  <c r="Z680" i="2" s="1"/>
  <c r="Y679" i="2"/>
  <c r="U679" i="2"/>
  <c r="Z679" i="2" s="1"/>
  <c r="Y678" i="2"/>
  <c r="U678" i="2"/>
  <c r="Z678" i="2" s="1"/>
  <c r="Y677" i="2"/>
  <c r="U677" i="2"/>
  <c r="Z677" i="2" s="1"/>
  <c r="Y676" i="2"/>
  <c r="U676" i="2"/>
  <c r="Z676" i="2" s="1"/>
  <c r="Y675" i="2"/>
  <c r="U675" i="2"/>
  <c r="Z675" i="2" s="1"/>
  <c r="Y674" i="2"/>
  <c r="U674" i="2"/>
  <c r="Z674" i="2" s="1"/>
  <c r="Y673" i="2"/>
  <c r="U673" i="2"/>
  <c r="Z673" i="2" s="1"/>
  <c r="Y672" i="2"/>
  <c r="U672" i="2"/>
  <c r="Z672" i="2" s="1"/>
  <c r="Y671" i="2"/>
  <c r="U671" i="2"/>
  <c r="Z671" i="2" s="1"/>
  <c r="Y670" i="2"/>
  <c r="U670" i="2"/>
  <c r="Z670" i="2" s="1"/>
  <c r="Y669" i="2"/>
  <c r="U669" i="2"/>
  <c r="Z669" i="2" s="1"/>
  <c r="Y668" i="2"/>
  <c r="U668" i="2"/>
  <c r="Z668" i="2" s="1"/>
  <c r="Y667" i="2"/>
  <c r="U667" i="2"/>
  <c r="Z667" i="2" s="1"/>
  <c r="Y666" i="2"/>
  <c r="U666" i="2"/>
  <c r="Z666" i="2" s="1"/>
  <c r="Y665" i="2"/>
  <c r="U665" i="2"/>
  <c r="Z665" i="2" s="1"/>
  <c r="Y664" i="2"/>
  <c r="U664" i="2"/>
  <c r="Z664" i="2" s="1"/>
  <c r="Y663" i="2"/>
  <c r="U663" i="2"/>
  <c r="Z663" i="2" s="1"/>
  <c r="Y662" i="2"/>
  <c r="U662" i="2"/>
  <c r="Z662" i="2" s="1"/>
  <c r="Y661" i="2"/>
  <c r="U661" i="2"/>
  <c r="Z661" i="2" s="1"/>
  <c r="Y660" i="2"/>
  <c r="U660" i="2"/>
  <c r="Z660" i="2" s="1"/>
  <c r="Y659" i="2"/>
  <c r="U659" i="2"/>
  <c r="Z659" i="2" s="1"/>
  <c r="Y658" i="2"/>
  <c r="U658" i="2"/>
  <c r="Z658" i="2" s="1"/>
  <c r="Y657" i="2"/>
  <c r="U657" i="2"/>
  <c r="Z657" i="2" s="1"/>
  <c r="Y656" i="2"/>
  <c r="U656" i="2"/>
  <c r="Z656" i="2" s="1"/>
  <c r="Y655" i="2"/>
  <c r="U655" i="2"/>
  <c r="Z655" i="2" s="1"/>
  <c r="Y654" i="2"/>
  <c r="U654" i="2"/>
  <c r="Z654" i="2" s="1"/>
  <c r="Y653" i="2"/>
  <c r="U653" i="2"/>
  <c r="Z653" i="2" s="1"/>
  <c r="Y652" i="2"/>
  <c r="U652" i="2"/>
  <c r="Z652" i="2" s="1"/>
  <c r="Y651" i="2"/>
  <c r="U651" i="2"/>
  <c r="Z651" i="2" s="1"/>
  <c r="Y650" i="2"/>
  <c r="U650" i="2"/>
  <c r="Z650" i="2" s="1"/>
  <c r="Y649" i="2"/>
  <c r="U649" i="2"/>
  <c r="Z649" i="2" s="1"/>
  <c r="Y648" i="2"/>
  <c r="U648" i="2"/>
  <c r="Z648" i="2" s="1"/>
  <c r="Y647" i="2"/>
  <c r="U647" i="2"/>
  <c r="Z647" i="2" s="1"/>
  <c r="Y646" i="2"/>
  <c r="U646" i="2"/>
  <c r="Z646" i="2" s="1"/>
  <c r="Y645" i="2"/>
  <c r="U645" i="2"/>
  <c r="Z645" i="2" s="1"/>
  <c r="Y644" i="2"/>
  <c r="U644" i="2"/>
  <c r="Z644" i="2" s="1"/>
  <c r="Y643" i="2"/>
  <c r="U643" i="2"/>
  <c r="Z643" i="2" s="1"/>
  <c r="Y642" i="2"/>
  <c r="U642" i="2"/>
  <c r="Z642" i="2" s="1"/>
  <c r="Y641" i="2"/>
  <c r="U641" i="2"/>
  <c r="Z641" i="2" s="1"/>
  <c r="Y640" i="2"/>
  <c r="U640" i="2"/>
  <c r="Z640" i="2" s="1"/>
  <c r="Y639" i="2"/>
  <c r="U639" i="2"/>
  <c r="Z639" i="2" s="1"/>
  <c r="Y638" i="2"/>
  <c r="U638" i="2"/>
  <c r="Z638" i="2" s="1"/>
  <c r="Y637" i="2"/>
  <c r="U637" i="2"/>
  <c r="Z637" i="2" s="1"/>
  <c r="Y636" i="2"/>
  <c r="U636" i="2"/>
  <c r="Z636" i="2" s="1"/>
  <c r="Y635" i="2"/>
  <c r="U635" i="2"/>
  <c r="Z635" i="2" s="1"/>
  <c r="Y634" i="2"/>
  <c r="U634" i="2"/>
  <c r="Z634" i="2" s="1"/>
  <c r="Y633" i="2"/>
  <c r="U633" i="2"/>
  <c r="Z633" i="2" s="1"/>
  <c r="Y632" i="2"/>
  <c r="U632" i="2"/>
  <c r="Z632" i="2" s="1"/>
  <c r="Y631" i="2"/>
  <c r="U631" i="2"/>
  <c r="Z631" i="2" s="1"/>
  <c r="Y630" i="2"/>
  <c r="U630" i="2"/>
  <c r="Z630" i="2" s="1"/>
  <c r="Y629" i="2"/>
  <c r="U629" i="2"/>
  <c r="Z629" i="2" s="1"/>
  <c r="Y628" i="2"/>
  <c r="U628" i="2"/>
  <c r="Z628" i="2" s="1"/>
  <c r="Y627" i="2"/>
  <c r="U627" i="2"/>
  <c r="Z627" i="2" s="1"/>
  <c r="Y626" i="2"/>
  <c r="U626" i="2"/>
  <c r="Z626" i="2" s="1"/>
  <c r="Y625" i="2"/>
  <c r="U625" i="2"/>
  <c r="Z625" i="2" s="1"/>
  <c r="Y624" i="2"/>
  <c r="U624" i="2"/>
  <c r="Z624" i="2" s="1"/>
  <c r="Y623" i="2"/>
  <c r="U623" i="2"/>
  <c r="Z623" i="2" s="1"/>
  <c r="Y622" i="2"/>
  <c r="U622" i="2"/>
  <c r="Z622" i="2" s="1"/>
  <c r="Y621" i="2"/>
  <c r="U621" i="2"/>
  <c r="Z621" i="2" s="1"/>
  <c r="Y620" i="2"/>
  <c r="U620" i="2"/>
  <c r="Z620" i="2" s="1"/>
  <c r="Y619" i="2"/>
  <c r="U619" i="2"/>
  <c r="Z619" i="2" s="1"/>
  <c r="Y618" i="2"/>
  <c r="U618" i="2"/>
  <c r="Z618" i="2" s="1"/>
  <c r="Y617" i="2"/>
  <c r="U617" i="2"/>
  <c r="Z617" i="2" s="1"/>
  <c r="Y616" i="2"/>
  <c r="U616" i="2"/>
  <c r="Z616" i="2" s="1"/>
  <c r="Y615" i="2"/>
  <c r="U615" i="2"/>
  <c r="Z615" i="2" s="1"/>
  <c r="Y614" i="2"/>
  <c r="U614" i="2"/>
  <c r="Z614" i="2" s="1"/>
  <c r="Y613" i="2"/>
  <c r="U613" i="2"/>
  <c r="Z613" i="2" s="1"/>
  <c r="Y612" i="2"/>
  <c r="U612" i="2"/>
  <c r="Z612" i="2" s="1"/>
  <c r="Y611" i="2"/>
  <c r="U611" i="2"/>
  <c r="Z611" i="2" s="1"/>
  <c r="Y610" i="2"/>
  <c r="U610" i="2"/>
  <c r="Z610" i="2" s="1"/>
  <c r="Y609" i="2"/>
  <c r="U609" i="2"/>
  <c r="Z609" i="2" s="1"/>
  <c r="Y608" i="2"/>
  <c r="U608" i="2"/>
  <c r="Z608" i="2" s="1"/>
  <c r="Y607" i="2"/>
  <c r="U607" i="2"/>
  <c r="Z607" i="2" s="1"/>
  <c r="Y606" i="2"/>
  <c r="U606" i="2"/>
  <c r="Z606" i="2" s="1"/>
  <c r="Y605" i="2"/>
  <c r="U605" i="2"/>
  <c r="Z605" i="2" s="1"/>
  <c r="Y604" i="2"/>
  <c r="U604" i="2"/>
  <c r="Z604" i="2" s="1"/>
  <c r="Y603" i="2"/>
  <c r="U603" i="2"/>
  <c r="Z603" i="2" s="1"/>
  <c r="Y602" i="2"/>
  <c r="U602" i="2"/>
  <c r="Z602" i="2" s="1"/>
  <c r="Y601" i="2"/>
  <c r="U601" i="2"/>
  <c r="Z601" i="2" s="1"/>
  <c r="Y600" i="2"/>
  <c r="U600" i="2"/>
  <c r="Z600" i="2" s="1"/>
  <c r="Y599" i="2"/>
  <c r="U599" i="2"/>
  <c r="Z599" i="2" s="1"/>
  <c r="Y598" i="2"/>
  <c r="U598" i="2"/>
  <c r="Z598" i="2" s="1"/>
  <c r="Y597" i="2"/>
  <c r="U597" i="2"/>
  <c r="Z597" i="2" s="1"/>
  <c r="Y596" i="2"/>
  <c r="U596" i="2"/>
  <c r="Z596" i="2" s="1"/>
  <c r="Y595" i="2"/>
  <c r="U595" i="2"/>
  <c r="Z595" i="2" s="1"/>
  <c r="Y594" i="2"/>
  <c r="U594" i="2"/>
  <c r="Z594" i="2" s="1"/>
  <c r="Y593" i="2"/>
  <c r="U593" i="2"/>
  <c r="Z593" i="2" s="1"/>
  <c r="Y592" i="2"/>
  <c r="U592" i="2"/>
  <c r="Z592" i="2" s="1"/>
  <c r="AA592" i="2" s="1"/>
  <c r="AB592" i="2" s="1"/>
  <c r="Y591" i="2"/>
  <c r="U591" i="2"/>
  <c r="Z591" i="2" s="1"/>
  <c r="Y590" i="2"/>
  <c r="U590" i="2"/>
  <c r="Z590" i="2" s="1"/>
  <c r="Y589" i="2"/>
  <c r="U589" i="2"/>
  <c r="Z589" i="2" s="1"/>
  <c r="Y588" i="2"/>
  <c r="U588" i="2"/>
  <c r="Z588" i="2" s="1"/>
  <c r="Y587" i="2"/>
  <c r="U587" i="2"/>
  <c r="Z587" i="2" s="1"/>
  <c r="Y586" i="2"/>
  <c r="U586" i="2"/>
  <c r="Z586" i="2" s="1"/>
  <c r="Y585" i="2"/>
  <c r="U585" i="2"/>
  <c r="Z585" i="2" s="1"/>
  <c r="Y584" i="2"/>
  <c r="U584" i="2"/>
  <c r="Z584" i="2" s="1"/>
  <c r="Y583" i="2"/>
  <c r="U583" i="2"/>
  <c r="Z583" i="2" s="1"/>
  <c r="Y582" i="2"/>
  <c r="U582" i="2"/>
  <c r="Z582" i="2" s="1"/>
  <c r="Y581" i="2"/>
  <c r="U581" i="2"/>
  <c r="Z581" i="2" s="1"/>
  <c r="Y580" i="2"/>
  <c r="U580" i="2"/>
  <c r="Z580" i="2" s="1"/>
  <c r="Y579" i="2"/>
  <c r="U579" i="2"/>
  <c r="Z579" i="2" s="1"/>
  <c r="Y578" i="2"/>
  <c r="U578" i="2"/>
  <c r="Z578" i="2" s="1"/>
  <c r="Y577" i="2"/>
  <c r="U577" i="2"/>
  <c r="Z577" i="2" s="1"/>
  <c r="Y576" i="2"/>
  <c r="U576" i="2"/>
  <c r="Z576" i="2" s="1"/>
  <c r="Y575" i="2"/>
  <c r="U575" i="2"/>
  <c r="Z575" i="2" s="1"/>
  <c r="Y574" i="2"/>
  <c r="U574" i="2"/>
  <c r="Z574" i="2" s="1"/>
  <c r="Y573" i="2"/>
  <c r="U573" i="2"/>
  <c r="Z573" i="2" s="1"/>
  <c r="Y572" i="2"/>
  <c r="U572" i="2"/>
  <c r="Z572" i="2" s="1"/>
  <c r="Y571" i="2"/>
  <c r="U571" i="2"/>
  <c r="Z571" i="2" s="1"/>
  <c r="Y570" i="2"/>
  <c r="U570" i="2"/>
  <c r="Z570" i="2" s="1"/>
  <c r="Y569" i="2"/>
  <c r="U569" i="2"/>
  <c r="Z569" i="2" s="1"/>
  <c r="Y568" i="2"/>
  <c r="U568" i="2"/>
  <c r="Z568" i="2" s="1"/>
  <c r="Y567" i="2"/>
  <c r="U567" i="2"/>
  <c r="Z567" i="2" s="1"/>
  <c r="Y566" i="2"/>
  <c r="U566" i="2"/>
  <c r="Z566" i="2" s="1"/>
  <c r="Y565" i="2"/>
  <c r="U565" i="2"/>
  <c r="Z565" i="2" s="1"/>
  <c r="Y564" i="2"/>
  <c r="U564" i="2"/>
  <c r="Z564" i="2" s="1"/>
  <c r="Y563" i="2"/>
  <c r="U563" i="2"/>
  <c r="Z563" i="2" s="1"/>
  <c r="Y562" i="2"/>
  <c r="U562" i="2"/>
  <c r="Z562" i="2" s="1"/>
  <c r="Y561" i="2"/>
  <c r="U561" i="2"/>
  <c r="Z561" i="2" s="1"/>
  <c r="Y560" i="2"/>
  <c r="U560" i="2"/>
  <c r="Z560" i="2" s="1"/>
  <c r="Y559" i="2"/>
  <c r="U559" i="2"/>
  <c r="Z559" i="2" s="1"/>
  <c r="Y558" i="2"/>
  <c r="U558" i="2"/>
  <c r="Z558" i="2" s="1"/>
  <c r="Y557" i="2"/>
  <c r="U557" i="2"/>
  <c r="Z557" i="2" s="1"/>
  <c r="Y556" i="2"/>
  <c r="U556" i="2"/>
  <c r="Z556" i="2" s="1"/>
  <c r="Y555" i="2"/>
  <c r="U555" i="2"/>
  <c r="Z555" i="2" s="1"/>
  <c r="Y554" i="2"/>
  <c r="U554" i="2"/>
  <c r="Z554" i="2" s="1"/>
  <c r="Y553" i="2"/>
  <c r="U553" i="2"/>
  <c r="Z553" i="2" s="1"/>
  <c r="Y552" i="2"/>
  <c r="U552" i="2"/>
  <c r="Z552" i="2" s="1"/>
  <c r="Y551" i="2"/>
  <c r="U551" i="2"/>
  <c r="Z551" i="2" s="1"/>
  <c r="Y550" i="2"/>
  <c r="U550" i="2"/>
  <c r="Z550" i="2" s="1"/>
  <c r="Y549" i="2"/>
  <c r="U549" i="2"/>
  <c r="Z549" i="2" s="1"/>
  <c r="Y548" i="2"/>
  <c r="U548" i="2"/>
  <c r="Z548" i="2" s="1"/>
  <c r="Y547" i="2"/>
  <c r="U547" i="2"/>
  <c r="Z547" i="2" s="1"/>
  <c r="Y546" i="2"/>
  <c r="U546" i="2"/>
  <c r="Z546" i="2" s="1"/>
  <c r="Y545" i="2"/>
  <c r="U545" i="2"/>
  <c r="Z545" i="2" s="1"/>
  <c r="Y544" i="2"/>
  <c r="U544" i="2"/>
  <c r="Z544" i="2" s="1"/>
  <c r="AA544" i="2" s="1"/>
  <c r="AB544" i="2" s="1"/>
  <c r="Y543" i="2"/>
  <c r="U543" i="2"/>
  <c r="Z543" i="2" s="1"/>
  <c r="Y542" i="2"/>
  <c r="U542" i="2"/>
  <c r="Z542" i="2" s="1"/>
  <c r="Y541" i="2"/>
  <c r="U541" i="2"/>
  <c r="Z541" i="2" s="1"/>
  <c r="AA541" i="2" s="1"/>
  <c r="AB541" i="2" s="1"/>
  <c r="Y540" i="2"/>
  <c r="U540" i="2"/>
  <c r="Z540" i="2" s="1"/>
  <c r="Y539" i="2"/>
  <c r="U539" i="2"/>
  <c r="Z539" i="2" s="1"/>
  <c r="Y538" i="2"/>
  <c r="U538" i="2"/>
  <c r="Z538" i="2" s="1"/>
  <c r="Y537" i="2"/>
  <c r="U537" i="2"/>
  <c r="Z537" i="2" s="1"/>
  <c r="Y536" i="2"/>
  <c r="U536" i="2"/>
  <c r="Z536" i="2" s="1"/>
  <c r="Y535" i="2"/>
  <c r="U535" i="2"/>
  <c r="Z535" i="2" s="1"/>
  <c r="Y534" i="2"/>
  <c r="U534" i="2"/>
  <c r="Z534" i="2" s="1"/>
  <c r="Y533" i="2"/>
  <c r="U533" i="2"/>
  <c r="Z533" i="2" s="1"/>
  <c r="AA533" i="2" s="1"/>
  <c r="AB533" i="2" s="1"/>
  <c r="Y532" i="2"/>
  <c r="U532" i="2"/>
  <c r="Z532" i="2" s="1"/>
  <c r="Y531" i="2"/>
  <c r="U531" i="2"/>
  <c r="Z531" i="2" s="1"/>
  <c r="Y530" i="2"/>
  <c r="U530" i="2"/>
  <c r="Z530" i="2" s="1"/>
  <c r="Y529" i="2"/>
  <c r="U529" i="2"/>
  <c r="Z529" i="2" s="1"/>
  <c r="Y528" i="2"/>
  <c r="U528" i="2"/>
  <c r="Z528" i="2" s="1"/>
  <c r="Y527" i="2"/>
  <c r="U527" i="2"/>
  <c r="Z527" i="2" s="1"/>
  <c r="Y526" i="2"/>
  <c r="U526" i="2"/>
  <c r="Z526" i="2" s="1"/>
  <c r="Y525" i="2"/>
  <c r="U525" i="2"/>
  <c r="Z525" i="2" s="1"/>
  <c r="AA525" i="2" s="1"/>
  <c r="AB525" i="2" s="1"/>
  <c r="Y524" i="2"/>
  <c r="U524" i="2"/>
  <c r="Z524" i="2" s="1"/>
  <c r="Y523" i="2"/>
  <c r="U523" i="2"/>
  <c r="Z523" i="2" s="1"/>
  <c r="Y522" i="2"/>
  <c r="U522" i="2"/>
  <c r="Z522" i="2" s="1"/>
  <c r="Y521" i="2"/>
  <c r="U521" i="2"/>
  <c r="Z521" i="2" s="1"/>
  <c r="Y520" i="2"/>
  <c r="U520" i="2"/>
  <c r="Z520" i="2" s="1"/>
  <c r="Y519" i="2"/>
  <c r="U519" i="2"/>
  <c r="Z519" i="2" s="1"/>
  <c r="Y518" i="2"/>
  <c r="U518" i="2"/>
  <c r="Z518" i="2" s="1"/>
  <c r="Y517" i="2"/>
  <c r="U517" i="2"/>
  <c r="Z517" i="2" s="1"/>
  <c r="Y516" i="2"/>
  <c r="U516" i="2"/>
  <c r="Z516" i="2" s="1"/>
  <c r="Y515" i="2"/>
  <c r="U515" i="2"/>
  <c r="Z515" i="2" s="1"/>
  <c r="Y514" i="2"/>
  <c r="U514" i="2"/>
  <c r="Z514" i="2" s="1"/>
  <c r="Y513" i="2"/>
  <c r="U513" i="2"/>
  <c r="Z513" i="2" s="1"/>
  <c r="Y512" i="2"/>
  <c r="U512" i="2"/>
  <c r="Z512" i="2" s="1"/>
  <c r="Y511" i="2"/>
  <c r="U511" i="2"/>
  <c r="Z511" i="2" s="1"/>
  <c r="Y510" i="2"/>
  <c r="U510" i="2"/>
  <c r="Z510" i="2" s="1"/>
  <c r="Y509" i="2"/>
  <c r="U509" i="2"/>
  <c r="Z509" i="2" s="1"/>
  <c r="Y508" i="2"/>
  <c r="U508" i="2"/>
  <c r="Z508" i="2" s="1"/>
  <c r="Y507" i="2"/>
  <c r="U507" i="2"/>
  <c r="Z507" i="2" s="1"/>
  <c r="Y506" i="2"/>
  <c r="U506" i="2"/>
  <c r="Z506" i="2" s="1"/>
  <c r="Y505" i="2"/>
  <c r="U505" i="2"/>
  <c r="Z505" i="2" s="1"/>
  <c r="Y504" i="2"/>
  <c r="U504" i="2"/>
  <c r="Z504" i="2" s="1"/>
  <c r="Y503" i="2"/>
  <c r="U503" i="2"/>
  <c r="Z503" i="2" s="1"/>
  <c r="Y502" i="2"/>
  <c r="U502" i="2"/>
  <c r="Z502" i="2" s="1"/>
  <c r="Y501" i="2"/>
  <c r="U501" i="2"/>
  <c r="Z501" i="2" s="1"/>
  <c r="Y500" i="2"/>
  <c r="U500" i="2"/>
  <c r="Z500" i="2" s="1"/>
  <c r="Y499" i="2"/>
  <c r="U499" i="2"/>
  <c r="Z499" i="2" s="1"/>
  <c r="Y498" i="2"/>
  <c r="U498" i="2"/>
  <c r="Z498" i="2" s="1"/>
  <c r="Y497" i="2"/>
  <c r="U497" i="2"/>
  <c r="Z497" i="2" s="1"/>
  <c r="Y496" i="2"/>
  <c r="U496" i="2"/>
  <c r="Z496" i="2" s="1"/>
  <c r="Y495" i="2"/>
  <c r="U495" i="2"/>
  <c r="Z495" i="2" s="1"/>
  <c r="Y494" i="2"/>
  <c r="U494" i="2"/>
  <c r="Z494" i="2" s="1"/>
  <c r="Y493" i="2"/>
  <c r="U493" i="2"/>
  <c r="Z493" i="2" s="1"/>
  <c r="Y492" i="2"/>
  <c r="U492" i="2"/>
  <c r="Z492" i="2" s="1"/>
  <c r="Y491" i="2"/>
  <c r="U491" i="2"/>
  <c r="Z491" i="2" s="1"/>
  <c r="Y490" i="2"/>
  <c r="U490" i="2"/>
  <c r="Z490" i="2" s="1"/>
  <c r="Y489" i="2"/>
  <c r="U489" i="2"/>
  <c r="Z489" i="2" s="1"/>
  <c r="Y488" i="2"/>
  <c r="U488" i="2"/>
  <c r="Z488" i="2" s="1"/>
  <c r="Y487" i="2"/>
  <c r="U487" i="2"/>
  <c r="Z487" i="2" s="1"/>
  <c r="Y486" i="2"/>
  <c r="U486" i="2"/>
  <c r="Z486" i="2" s="1"/>
  <c r="Y485" i="2"/>
  <c r="U485" i="2"/>
  <c r="Z485" i="2" s="1"/>
  <c r="Y484" i="2"/>
  <c r="U484" i="2"/>
  <c r="Z484" i="2" s="1"/>
  <c r="Y483" i="2"/>
  <c r="U483" i="2"/>
  <c r="Z483" i="2" s="1"/>
  <c r="Y482" i="2"/>
  <c r="U482" i="2"/>
  <c r="Z482" i="2" s="1"/>
  <c r="Y481" i="2"/>
  <c r="U481" i="2"/>
  <c r="Z481" i="2" s="1"/>
  <c r="Y480" i="2"/>
  <c r="U480" i="2"/>
  <c r="Z480" i="2" s="1"/>
  <c r="Y479" i="2"/>
  <c r="U479" i="2"/>
  <c r="Z479" i="2" s="1"/>
  <c r="Y478" i="2"/>
  <c r="U478" i="2"/>
  <c r="Z478" i="2" s="1"/>
  <c r="Y477" i="2"/>
  <c r="U477" i="2"/>
  <c r="Z477" i="2" s="1"/>
  <c r="Y476" i="2"/>
  <c r="U476" i="2"/>
  <c r="Z476" i="2" s="1"/>
  <c r="Y475" i="2"/>
  <c r="U475" i="2"/>
  <c r="Z475" i="2" s="1"/>
  <c r="Y474" i="2"/>
  <c r="U474" i="2"/>
  <c r="Z474" i="2" s="1"/>
  <c r="Y473" i="2"/>
  <c r="U473" i="2"/>
  <c r="Z473" i="2" s="1"/>
  <c r="Y472" i="2"/>
  <c r="U472" i="2"/>
  <c r="Z472" i="2" s="1"/>
  <c r="Y471" i="2"/>
  <c r="U471" i="2"/>
  <c r="Z471" i="2" s="1"/>
  <c r="Y470" i="2"/>
  <c r="U470" i="2"/>
  <c r="Z470" i="2" s="1"/>
  <c r="Y469" i="2"/>
  <c r="U469" i="2"/>
  <c r="Z469" i="2" s="1"/>
  <c r="Y468" i="2"/>
  <c r="U468" i="2"/>
  <c r="Z468" i="2" s="1"/>
  <c r="Y467" i="2"/>
  <c r="U467" i="2"/>
  <c r="Z467" i="2" s="1"/>
  <c r="Y466" i="2"/>
  <c r="U466" i="2"/>
  <c r="Z466" i="2" s="1"/>
  <c r="Y465" i="2"/>
  <c r="U465" i="2"/>
  <c r="Z465" i="2" s="1"/>
  <c r="Y464" i="2"/>
  <c r="U464" i="2"/>
  <c r="Z464" i="2" s="1"/>
  <c r="Y463" i="2"/>
  <c r="U463" i="2"/>
  <c r="Z463" i="2" s="1"/>
  <c r="Y462" i="2"/>
  <c r="U462" i="2"/>
  <c r="Z462" i="2" s="1"/>
  <c r="Y461" i="2"/>
  <c r="U461" i="2"/>
  <c r="Z461" i="2" s="1"/>
  <c r="Y460" i="2"/>
  <c r="U460" i="2"/>
  <c r="Z460" i="2" s="1"/>
  <c r="Y459" i="2"/>
  <c r="U459" i="2"/>
  <c r="Z459" i="2" s="1"/>
  <c r="Y458" i="2"/>
  <c r="U458" i="2"/>
  <c r="Z458" i="2" s="1"/>
  <c r="Y457" i="2"/>
  <c r="U457" i="2"/>
  <c r="Z457" i="2" s="1"/>
  <c r="Y456" i="2"/>
  <c r="U456" i="2"/>
  <c r="Z456" i="2" s="1"/>
  <c r="Y455" i="2"/>
  <c r="U455" i="2"/>
  <c r="Z455" i="2" s="1"/>
  <c r="Y454" i="2"/>
  <c r="U454" i="2"/>
  <c r="Z454" i="2" s="1"/>
  <c r="Y453" i="2"/>
  <c r="U453" i="2"/>
  <c r="Z453" i="2" s="1"/>
  <c r="Y452" i="2"/>
  <c r="U452" i="2"/>
  <c r="Z452" i="2" s="1"/>
  <c r="Y451" i="2"/>
  <c r="U451" i="2"/>
  <c r="Z451" i="2" s="1"/>
  <c r="Y450" i="2"/>
  <c r="U450" i="2"/>
  <c r="Z450" i="2" s="1"/>
  <c r="Y449" i="2"/>
  <c r="U449" i="2"/>
  <c r="Z449" i="2" s="1"/>
  <c r="Y448" i="2"/>
  <c r="U448" i="2"/>
  <c r="Z448" i="2" s="1"/>
  <c r="Y447" i="2"/>
  <c r="U447" i="2"/>
  <c r="Z447" i="2" s="1"/>
  <c r="Y446" i="2"/>
  <c r="U446" i="2"/>
  <c r="Z446" i="2" s="1"/>
  <c r="Y445" i="2"/>
  <c r="U445" i="2"/>
  <c r="Z445" i="2" s="1"/>
  <c r="Y444" i="2"/>
  <c r="U444" i="2"/>
  <c r="Z444" i="2" s="1"/>
  <c r="Y443" i="2"/>
  <c r="U443" i="2"/>
  <c r="Z443" i="2" s="1"/>
  <c r="Y442" i="2"/>
  <c r="U442" i="2"/>
  <c r="Z442" i="2" s="1"/>
  <c r="Y441" i="2"/>
  <c r="U441" i="2"/>
  <c r="Z441" i="2" s="1"/>
  <c r="Y440" i="2"/>
  <c r="U440" i="2"/>
  <c r="Z440" i="2" s="1"/>
  <c r="Y439" i="2"/>
  <c r="U439" i="2"/>
  <c r="Z439" i="2" s="1"/>
  <c r="Y438" i="2"/>
  <c r="U438" i="2"/>
  <c r="Z438" i="2" s="1"/>
  <c r="Y437" i="2"/>
  <c r="U437" i="2"/>
  <c r="Z437" i="2" s="1"/>
  <c r="Y436" i="2"/>
  <c r="U436" i="2"/>
  <c r="Z436" i="2" s="1"/>
  <c r="Y435" i="2"/>
  <c r="U435" i="2"/>
  <c r="Z435" i="2" s="1"/>
  <c r="Y434" i="2"/>
  <c r="U434" i="2"/>
  <c r="Z434" i="2" s="1"/>
  <c r="Y433" i="2"/>
  <c r="U433" i="2"/>
  <c r="Z433" i="2" s="1"/>
  <c r="Y432" i="2"/>
  <c r="U432" i="2"/>
  <c r="Z432" i="2" s="1"/>
  <c r="Y431" i="2"/>
  <c r="U431" i="2"/>
  <c r="Z431" i="2" s="1"/>
  <c r="Y430" i="2"/>
  <c r="U430" i="2"/>
  <c r="Z430" i="2" s="1"/>
  <c r="Y429" i="2"/>
  <c r="U429" i="2"/>
  <c r="Z429" i="2" s="1"/>
  <c r="Y428" i="2"/>
  <c r="U428" i="2"/>
  <c r="Z428" i="2" s="1"/>
  <c r="Y427" i="2"/>
  <c r="U427" i="2"/>
  <c r="Z427" i="2" s="1"/>
  <c r="Y426" i="2"/>
  <c r="U426" i="2"/>
  <c r="Z426" i="2" s="1"/>
  <c r="Y425" i="2"/>
  <c r="U425" i="2"/>
  <c r="Z425" i="2" s="1"/>
  <c r="Y424" i="2"/>
  <c r="U424" i="2"/>
  <c r="Z424" i="2" s="1"/>
  <c r="Y423" i="2"/>
  <c r="U423" i="2"/>
  <c r="Z423" i="2" s="1"/>
  <c r="Y422" i="2"/>
  <c r="U422" i="2"/>
  <c r="Z422" i="2" s="1"/>
  <c r="Y421" i="2"/>
  <c r="U421" i="2"/>
  <c r="Z421" i="2" s="1"/>
  <c r="Y420" i="2"/>
  <c r="U420" i="2"/>
  <c r="Z420" i="2" s="1"/>
  <c r="Y419" i="2"/>
  <c r="U419" i="2"/>
  <c r="Z419" i="2" s="1"/>
  <c r="Y418" i="2"/>
  <c r="U418" i="2"/>
  <c r="Z418" i="2" s="1"/>
  <c r="Y417" i="2"/>
  <c r="U417" i="2"/>
  <c r="Z417" i="2" s="1"/>
  <c r="Y416" i="2"/>
  <c r="U416" i="2"/>
  <c r="Z416" i="2" s="1"/>
  <c r="Y415" i="2"/>
  <c r="U415" i="2"/>
  <c r="Z415" i="2" s="1"/>
  <c r="Y414" i="2"/>
  <c r="U414" i="2"/>
  <c r="Z414" i="2" s="1"/>
  <c r="Y413" i="2"/>
  <c r="U413" i="2"/>
  <c r="Z413" i="2" s="1"/>
  <c r="Y412" i="2"/>
  <c r="U412" i="2"/>
  <c r="Z412" i="2" s="1"/>
  <c r="Y411" i="2"/>
  <c r="U411" i="2"/>
  <c r="Z411" i="2" s="1"/>
  <c r="Y410" i="2"/>
  <c r="U410" i="2"/>
  <c r="Z410" i="2" s="1"/>
  <c r="Y409" i="2"/>
  <c r="U409" i="2"/>
  <c r="Z409" i="2" s="1"/>
  <c r="Y408" i="2"/>
  <c r="U408" i="2"/>
  <c r="Z408" i="2" s="1"/>
  <c r="Y407" i="2"/>
  <c r="U407" i="2"/>
  <c r="Z407" i="2" s="1"/>
  <c r="Y406" i="2"/>
  <c r="U406" i="2"/>
  <c r="Z406" i="2" s="1"/>
  <c r="Y405" i="2"/>
  <c r="U405" i="2"/>
  <c r="Z405" i="2" s="1"/>
  <c r="Y404" i="2"/>
  <c r="U404" i="2"/>
  <c r="Z404" i="2" s="1"/>
  <c r="Y403" i="2"/>
  <c r="U403" i="2"/>
  <c r="Z403" i="2" s="1"/>
  <c r="Y402" i="2"/>
  <c r="U402" i="2"/>
  <c r="Z402" i="2" s="1"/>
  <c r="Y401" i="2"/>
  <c r="U401" i="2"/>
  <c r="Z401" i="2" s="1"/>
  <c r="Y400" i="2"/>
  <c r="U400" i="2"/>
  <c r="Z400" i="2" s="1"/>
  <c r="AA400" i="2" s="1"/>
  <c r="AB400" i="2" s="1"/>
  <c r="Y399" i="2"/>
  <c r="U399" i="2"/>
  <c r="Z399" i="2" s="1"/>
  <c r="Y398" i="2"/>
  <c r="U398" i="2"/>
  <c r="Z398" i="2" s="1"/>
  <c r="Y397" i="2"/>
  <c r="U397" i="2"/>
  <c r="Z397" i="2" s="1"/>
  <c r="Y396" i="2"/>
  <c r="U396" i="2"/>
  <c r="Z396" i="2" s="1"/>
  <c r="Y395" i="2"/>
  <c r="U395" i="2"/>
  <c r="Z395" i="2" s="1"/>
  <c r="Y394" i="2"/>
  <c r="U394" i="2"/>
  <c r="Z394" i="2" s="1"/>
  <c r="Y393" i="2"/>
  <c r="U393" i="2"/>
  <c r="Z393" i="2" s="1"/>
  <c r="Y392" i="2"/>
  <c r="U392" i="2"/>
  <c r="Z392" i="2" s="1"/>
  <c r="AA392" i="2" s="1"/>
  <c r="AB392" i="2" s="1"/>
  <c r="Y391" i="2"/>
  <c r="U391" i="2"/>
  <c r="Z391" i="2" s="1"/>
  <c r="Y390" i="2"/>
  <c r="U390" i="2"/>
  <c r="Z390" i="2" s="1"/>
  <c r="Y389" i="2"/>
  <c r="U389" i="2"/>
  <c r="Z389" i="2" s="1"/>
  <c r="Y388" i="2"/>
  <c r="U388" i="2"/>
  <c r="Z388" i="2" s="1"/>
  <c r="Y387" i="2"/>
  <c r="U387" i="2"/>
  <c r="Z387" i="2" s="1"/>
  <c r="Y386" i="2"/>
  <c r="U386" i="2"/>
  <c r="Z386" i="2" s="1"/>
  <c r="Y385" i="2"/>
  <c r="U385" i="2"/>
  <c r="Z385" i="2" s="1"/>
  <c r="Y384" i="2"/>
  <c r="U384" i="2"/>
  <c r="Z384" i="2" s="1"/>
  <c r="Y383" i="2"/>
  <c r="U383" i="2"/>
  <c r="Z383" i="2" s="1"/>
  <c r="Y382" i="2"/>
  <c r="U382" i="2"/>
  <c r="Z382" i="2" s="1"/>
  <c r="Y381" i="2"/>
  <c r="U381" i="2"/>
  <c r="Z381" i="2" s="1"/>
  <c r="Y380" i="2"/>
  <c r="U380" i="2"/>
  <c r="Z380" i="2" s="1"/>
  <c r="Y379" i="2"/>
  <c r="U379" i="2"/>
  <c r="Z379" i="2" s="1"/>
  <c r="Y378" i="2"/>
  <c r="U378" i="2"/>
  <c r="Z378" i="2" s="1"/>
  <c r="Y377" i="2"/>
  <c r="U377" i="2"/>
  <c r="Z377" i="2" s="1"/>
  <c r="Y376" i="2"/>
  <c r="U376" i="2"/>
  <c r="Z376" i="2" s="1"/>
  <c r="Y375" i="2"/>
  <c r="U375" i="2"/>
  <c r="Z375" i="2" s="1"/>
  <c r="Y374" i="2"/>
  <c r="U374" i="2"/>
  <c r="Z374" i="2" s="1"/>
  <c r="Y373" i="2"/>
  <c r="U373" i="2"/>
  <c r="Z373" i="2" s="1"/>
  <c r="Y372" i="2"/>
  <c r="U372" i="2"/>
  <c r="Z372" i="2" s="1"/>
  <c r="Y371" i="2"/>
  <c r="U371" i="2"/>
  <c r="Z371" i="2" s="1"/>
  <c r="Y370" i="2"/>
  <c r="U370" i="2"/>
  <c r="Z370" i="2" s="1"/>
  <c r="Y369" i="2"/>
  <c r="U369" i="2"/>
  <c r="Z369" i="2" s="1"/>
  <c r="Y368" i="2"/>
  <c r="U368" i="2"/>
  <c r="Z368" i="2" s="1"/>
  <c r="Y367" i="2"/>
  <c r="U367" i="2"/>
  <c r="Z367" i="2" s="1"/>
  <c r="Y366" i="2"/>
  <c r="U366" i="2"/>
  <c r="Z366" i="2" s="1"/>
  <c r="Y365" i="2"/>
  <c r="U365" i="2"/>
  <c r="Z365" i="2" s="1"/>
  <c r="Y364" i="2"/>
  <c r="U364" i="2"/>
  <c r="Z364" i="2" s="1"/>
  <c r="Y363" i="2"/>
  <c r="U363" i="2"/>
  <c r="Z363" i="2" s="1"/>
  <c r="Y362" i="2"/>
  <c r="U362" i="2"/>
  <c r="Z362" i="2" s="1"/>
  <c r="Y361" i="2"/>
  <c r="U361" i="2"/>
  <c r="Z361" i="2" s="1"/>
  <c r="Y360" i="2"/>
  <c r="U360" i="2"/>
  <c r="Z360" i="2" s="1"/>
  <c r="Y359" i="2"/>
  <c r="U359" i="2"/>
  <c r="Z359" i="2" s="1"/>
  <c r="Y358" i="2"/>
  <c r="U358" i="2"/>
  <c r="Z358" i="2" s="1"/>
  <c r="Y357" i="2"/>
  <c r="U357" i="2"/>
  <c r="Z357" i="2" s="1"/>
  <c r="Y356" i="2"/>
  <c r="U356" i="2"/>
  <c r="Z356" i="2" s="1"/>
  <c r="Y355" i="2"/>
  <c r="U355" i="2"/>
  <c r="Z355" i="2" s="1"/>
  <c r="Y354" i="2"/>
  <c r="U354" i="2"/>
  <c r="Z354" i="2" s="1"/>
  <c r="Y353" i="2"/>
  <c r="U353" i="2"/>
  <c r="Z353" i="2" s="1"/>
  <c r="Y352" i="2"/>
  <c r="U352" i="2"/>
  <c r="Z352" i="2" s="1"/>
  <c r="Y351" i="2"/>
  <c r="U351" i="2"/>
  <c r="Z351" i="2" s="1"/>
  <c r="Y350" i="2"/>
  <c r="U350" i="2"/>
  <c r="Z350" i="2" s="1"/>
  <c r="Y349" i="2"/>
  <c r="U349" i="2"/>
  <c r="Z349" i="2" s="1"/>
  <c r="Y348" i="2"/>
  <c r="U348" i="2"/>
  <c r="Z348" i="2" s="1"/>
  <c r="Y347" i="2"/>
  <c r="U347" i="2"/>
  <c r="Z347" i="2" s="1"/>
  <c r="Y346" i="2"/>
  <c r="U346" i="2"/>
  <c r="Z346" i="2" s="1"/>
  <c r="Y345" i="2"/>
  <c r="U345" i="2"/>
  <c r="Z345" i="2" s="1"/>
  <c r="Y344" i="2"/>
  <c r="U344" i="2"/>
  <c r="Z344" i="2" s="1"/>
  <c r="Y343" i="2"/>
  <c r="U343" i="2"/>
  <c r="Z343" i="2" s="1"/>
  <c r="Y342" i="2"/>
  <c r="U342" i="2"/>
  <c r="Z342" i="2" s="1"/>
  <c r="Y341" i="2"/>
  <c r="U341" i="2"/>
  <c r="Z341" i="2" s="1"/>
  <c r="Y340" i="2"/>
  <c r="U340" i="2"/>
  <c r="Z340" i="2" s="1"/>
  <c r="Y339" i="2"/>
  <c r="U339" i="2"/>
  <c r="Z339" i="2" s="1"/>
  <c r="Y338" i="2"/>
  <c r="U338" i="2"/>
  <c r="Z338" i="2" s="1"/>
  <c r="Y337" i="2"/>
  <c r="U337" i="2"/>
  <c r="Z337" i="2" s="1"/>
  <c r="Y336" i="2"/>
  <c r="U336" i="2"/>
  <c r="Z336" i="2" s="1"/>
  <c r="Y335" i="2"/>
  <c r="U335" i="2"/>
  <c r="Z335" i="2" s="1"/>
  <c r="Y334" i="2"/>
  <c r="U334" i="2"/>
  <c r="Z334" i="2" s="1"/>
  <c r="Y333" i="2"/>
  <c r="U333" i="2"/>
  <c r="Z333" i="2" s="1"/>
  <c r="Y332" i="2"/>
  <c r="U332" i="2"/>
  <c r="Z332" i="2" s="1"/>
  <c r="Y331" i="2"/>
  <c r="U331" i="2"/>
  <c r="Z331" i="2" s="1"/>
  <c r="Y330" i="2"/>
  <c r="U330" i="2"/>
  <c r="Z330" i="2" s="1"/>
  <c r="Y329" i="2"/>
  <c r="U329" i="2"/>
  <c r="Z329" i="2" s="1"/>
  <c r="Y328" i="2"/>
  <c r="U328" i="2"/>
  <c r="Z328" i="2" s="1"/>
  <c r="Y327" i="2"/>
  <c r="U327" i="2"/>
  <c r="Z327" i="2" s="1"/>
  <c r="Y326" i="2"/>
  <c r="U326" i="2"/>
  <c r="Z326" i="2" s="1"/>
  <c r="Y325" i="2"/>
  <c r="U325" i="2"/>
  <c r="Z325" i="2" s="1"/>
  <c r="Y324" i="2"/>
  <c r="U324" i="2"/>
  <c r="Z324" i="2" s="1"/>
  <c r="Y323" i="2"/>
  <c r="U323" i="2"/>
  <c r="Z323" i="2" s="1"/>
  <c r="Y322" i="2"/>
  <c r="U322" i="2"/>
  <c r="Z322" i="2" s="1"/>
  <c r="Y321" i="2"/>
  <c r="U321" i="2"/>
  <c r="Z321" i="2" s="1"/>
  <c r="Y320" i="2"/>
  <c r="U320" i="2"/>
  <c r="Z320" i="2" s="1"/>
  <c r="Y319" i="2"/>
  <c r="U319" i="2"/>
  <c r="Z319" i="2" s="1"/>
  <c r="Y318" i="2"/>
  <c r="U318" i="2"/>
  <c r="Z318" i="2" s="1"/>
  <c r="Y317" i="2"/>
  <c r="U317" i="2"/>
  <c r="Z317" i="2" s="1"/>
  <c r="Y316" i="2"/>
  <c r="U316" i="2"/>
  <c r="Z316" i="2" s="1"/>
  <c r="Y315" i="2"/>
  <c r="U315" i="2"/>
  <c r="Z315" i="2" s="1"/>
  <c r="Y314" i="2"/>
  <c r="U314" i="2"/>
  <c r="Z314" i="2" s="1"/>
  <c r="Y313" i="2"/>
  <c r="U313" i="2"/>
  <c r="Z313" i="2" s="1"/>
  <c r="Y312" i="2"/>
  <c r="U312" i="2"/>
  <c r="Z312" i="2" s="1"/>
  <c r="Y311" i="2"/>
  <c r="U311" i="2"/>
  <c r="Z311" i="2" s="1"/>
  <c r="Y310" i="2"/>
  <c r="U310" i="2"/>
  <c r="Z310" i="2" s="1"/>
  <c r="Y309" i="2"/>
  <c r="U309" i="2"/>
  <c r="Z309" i="2" s="1"/>
  <c r="Y308" i="2"/>
  <c r="U308" i="2"/>
  <c r="Z308" i="2" s="1"/>
  <c r="Y307" i="2"/>
  <c r="U307" i="2"/>
  <c r="Z307" i="2" s="1"/>
  <c r="Y306" i="2"/>
  <c r="U306" i="2"/>
  <c r="Z306" i="2" s="1"/>
  <c r="Y305" i="2"/>
  <c r="U305" i="2"/>
  <c r="Z305" i="2" s="1"/>
  <c r="Y304" i="2"/>
  <c r="U304" i="2"/>
  <c r="Z304" i="2" s="1"/>
  <c r="Y303" i="2"/>
  <c r="U303" i="2"/>
  <c r="Z303" i="2" s="1"/>
  <c r="Y302" i="2"/>
  <c r="U302" i="2"/>
  <c r="Z302" i="2" s="1"/>
  <c r="Y301" i="2"/>
  <c r="U301" i="2"/>
  <c r="Z301" i="2" s="1"/>
  <c r="Y300" i="2"/>
  <c r="U300" i="2"/>
  <c r="Z300" i="2" s="1"/>
  <c r="Y299" i="2"/>
  <c r="U299" i="2"/>
  <c r="Z299" i="2" s="1"/>
  <c r="Y298" i="2"/>
  <c r="U298" i="2"/>
  <c r="Z298" i="2" s="1"/>
  <c r="Y297" i="2"/>
  <c r="U297" i="2"/>
  <c r="Z297" i="2" s="1"/>
  <c r="Y296" i="2"/>
  <c r="U296" i="2"/>
  <c r="Z296" i="2" s="1"/>
  <c r="Y295" i="2"/>
  <c r="U295" i="2"/>
  <c r="Z295" i="2" s="1"/>
  <c r="Y294" i="2"/>
  <c r="U294" i="2"/>
  <c r="Z294" i="2" s="1"/>
  <c r="Y293" i="2"/>
  <c r="U293" i="2"/>
  <c r="Z293" i="2" s="1"/>
  <c r="Y292" i="2"/>
  <c r="U292" i="2"/>
  <c r="Z292" i="2" s="1"/>
  <c r="Y291" i="2"/>
  <c r="U291" i="2"/>
  <c r="Z291" i="2" s="1"/>
  <c r="Y290" i="2"/>
  <c r="U290" i="2"/>
  <c r="Z290" i="2" s="1"/>
  <c r="Y289" i="2"/>
  <c r="U289" i="2"/>
  <c r="Z289" i="2" s="1"/>
  <c r="Y288" i="2"/>
  <c r="U288" i="2"/>
  <c r="Z288" i="2" s="1"/>
  <c r="Y287" i="2"/>
  <c r="U287" i="2"/>
  <c r="Z287" i="2" s="1"/>
  <c r="Y286" i="2"/>
  <c r="U286" i="2"/>
  <c r="Z286" i="2" s="1"/>
  <c r="Y285" i="2"/>
  <c r="U285" i="2"/>
  <c r="Z285" i="2" s="1"/>
  <c r="Y284" i="2"/>
  <c r="U284" i="2"/>
  <c r="Z284" i="2" s="1"/>
  <c r="Y283" i="2"/>
  <c r="U283" i="2"/>
  <c r="Z283" i="2" s="1"/>
  <c r="Y282" i="2"/>
  <c r="U282" i="2"/>
  <c r="Z282" i="2" s="1"/>
  <c r="Y281" i="2"/>
  <c r="U281" i="2"/>
  <c r="Z281" i="2" s="1"/>
  <c r="Y280" i="2"/>
  <c r="U280" i="2"/>
  <c r="Z280" i="2" s="1"/>
  <c r="Y279" i="2"/>
  <c r="U279" i="2"/>
  <c r="Z279" i="2" s="1"/>
  <c r="Y278" i="2"/>
  <c r="U278" i="2"/>
  <c r="Z278" i="2" s="1"/>
  <c r="Y277" i="2"/>
  <c r="U277" i="2"/>
  <c r="Z277" i="2" s="1"/>
  <c r="Y276" i="2"/>
  <c r="U276" i="2"/>
  <c r="Z276" i="2" s="1"/>
  <c r="Y275" i="2"/>
  <c r="U275" i="2"/>
  <c r="Z275" i="2" s="1"/>
  <c r="Y274" i="2"/>
  <c r="U274" i="2"/>
  <c r="Z274" i="2" s="1"/>
  <c r="Y273" i="2"/>
  <c r="U273" i="2"/>
  <c r="Z273" i="2" s="1"/>
  <c r="Y272" i="2"/>
  <c r="U272" i="2"/>
  <c r="Z272" i="2" s="1"/>
  <c r="Y271" i="2"/>
  <c r="U271" i="2"/>
  <c r="Z271" i="2" s="1"/>
  <c r="Y270" i="2"/>
  <c r="U270" i="2"/>
  <c r="Z270" i="2" s="1"/>
  <c r="Y269" i="2"/>
  <c r="U269" i="2"/>
  <c r="Z269" i="2" s="1"/>
  <c r="Y268" i="2"/>
  <c r="U268" i="2"/>
  <c r="Z268" i="2" s="1"/>
  <c r="Y267" i="2"/>
  <c r="U267" i="2"/>
  <c r="Z267" i="2" s="1"/>
  <c r="Y266" i="2"/>
  <c r="U266" i="2"/>
  <c r="Z266" i="2" s="1"/>
  <c r="Y265" i="2"/>
  <c r="U265" i="2"/>
  <c r="Z265" i="2" s="1"/>
  <c r="Y264" i="2"/>
  <c r="U264" i="2"/>
  <c r="Z264" i="2" s="1"/>
  <c r="Y263" i="2"/>
  <c r="U263" i="2"/>
  <c r="Z263" i="2" s="1"/>
  <c r="Y262" i="2"/>
  <c r="U262" i="2"/>
  <c r="Z262" i="2" s="1"/>
  <c r="Y261" i="2"/>
  <c r="U261" i="2"/>
  <c r="Z261" i="2" s="1"/>
  <c r="Y260" i="2"/>
  <c r="U260" i="2"/>
  <c r="Z260" i="2" s="1"/>
  <c r="Y259" i="2"/>
  <c r="U259" i="2"/>
  <c r="Z259" i="2" s="1"/>
  <c r="Y258" i="2"/>
  <c r="U258" i="2"/>
  <c r="Z258" i="2" s="1"/>
  <c r="Y257" i="2"/>
  <c r="U257" i="2"/>
  <c r="Z257" i="2" s="1"/>
  <c r="Y256" i="2"/>
  <c r="U256" i="2"/>
  <c r="Z256" i="2" s="1"/>
  <c r="Y255" i="2"/>
  <c r="U255" i="2"/>
  <c r="Z255" i="2" s="1"/>
  <c r="Y254" i="2"/>
  <c r="U254" i="2"/>
  <c r="Z254" i="2" s="1"/>
  <c r="Y253" i="2"/>
  <c r="U253" i="2"/>
  <c r="Z253" i="2" s="1"/>
  <c r="Y252" i="2"/>
  <c r="U252" i="2"/>
  <c r="Z252" i="2" s="1"/>
  <c r="Y251" i="2"/>
  <c r="U251" i="2"/>
  <c r="Z251" i="2" s="1"/>
  <c r="Y250" i="2"/>
  <c r="U250" i="2"/>
  <c r="Z250" i="2" s="1"/>
  <c r="Y249" i="2"/>
  <c r="U249" i="2"/>
  <c r="Z249" i="2" s="1"/>
  <c r="Y248" i="2"/>
  <c r="U248" i="2"/>
  <c r="Z248" i="2" s="1"/>
  <c r="Y247" i="2"/>
  <c r="U247" i="2"/>
  <c r="Z247" i="2" s="1"/>
  <c r="Y246" i="2"/>
  <c r="U246" i="2"/>
  <c r="Z246" i="2" s="1"/>
  <c r="Y245" i="2"/>
  <c r="U245" i="2"/>
  <c r="Z245" i="2" s="1"/>
  <c r="Y244" i="2"/>
  <c r="U244" i="2"/>
  <c r="Z244" i="2" s="1"/>
  <c r="Y243" i="2"/>
  <c r="U243" i="2"/>
  <c r="Z243" i="2" s="1"/>
  <c r="Y242" i="2"/>
  <c r="U242" i="2"/>
  <c r="Z242" i="2" s="1"/>
  <c r="Y241" i="2"/>
  <c r="U241" i="2"/>
  <c r="Z241" i="2" s="1"/>
  <c r="Y240" i="2"/>
  <c r="U240" i="2"/>
  <c r="Z240" i="2" s="1"/>
  <c r="Y239" i="2"/>
  <c r="U239" i="2"/>
  <c r="Z239" i="2" s="1"/>
  <c r="Y238" i="2"/>
  <c r="U238" i="2"/>
  <c r="Z238" i="2" s="1"/>
  <c r="Y237" i="2"/>
  <c r="U237" i="2"/>
  <c r="Z237" i="2" s="1"/>
  <c r="Y236" i="2"/>
  <c r="U236" i="2"/>
  <c r="Z236" i="2" s="1"/>
  <c r="Y235" i="2"/>
  <c r="U235" i="2"/>
  <c r="Z235" i="2" s="1"/>
  <c r="Y234" i="2"/>
  <c r="U234" i="2"/>
  <c r="Z234" i="2" s="1"/>
  <c r="Y233" i="2"/>
  <c r="U233" i="2"/>
  <c r="Z233" i="2" s="1"/>
  <c r="Y232" i="2"/>
  <c r="U232" i="2"/>
  <c r="Z232" i="2" s="1"/>
  <c r="Y231" i="2"/>
  <c r="U231" i="2"/>
  <c r="Z231" i="2" s="1"/>
  <c r="Y230" i="2"/>
  <c r="U230" i="2"/>
  <c r="Z230" i="2" s="1"/>
  <c r="Y229" i="2"/>
  <c r="U229" i="2"/>
  <c r="Z229" i="2" s="1"/>
  <c r="Y228" i="2"/>
  <c r="U228" i="2"/>
  <c r="Z228" i="2" s="1"/>
  <c r="Y227" i="2"/>
  <c r="U227" i="2"/>
  <c r="Z227" i="2" s="1"/>
  <c r="Y226" i="2"/>
  <c r="U226" i="2"/>
  <c r="Z226" i="2" s="1"/>
  <c r="Y225" i="2"/>
  <c r="U225" i="2"/>
  <c r="Z225" i="2" s="1"/>
  <c r="Y224" i="2"/>
  <c r="U224" i="2"/>
  <c r="Z224" i="2" s="1"/>
  <c r="Y223" i="2"/>
  <c r="U223" i="2"/>
  <c r="Z223" i="2" s="1"/>
  <c r="Y222" i="2"/>
  <c r="U222" i="2"/>
  <c r="Z222" i="2" s="1"/>
  <c r="Y221" i="2"/>
  <c r="U221" i="2"/>
  <c r="Z221" i="2" s="1"/>
  <c r="Y220" i="2"/>
  <c r="U220" i="2"/>
  <c r="Z220" i="2" s="1"/>
  <c r="Y219" i="2"/>
  <c r="U219" i="2"/>
  <c r="Z219" i="2" s="1"/>
  <c r="Y218" i="2"/>
  <c r="U218" i="2"/>
  <c r="Z218" i="2" s="1"/>
  <c r="Y217" i="2"/>
  <c r="U217" i="2"/>
  <c r="Z217" i="2" s="1"/>
  <c r="Y216" i="2"/>
  <c r="U216" i="2"/>
  <c r="Z216" i="2" s="1"/>
  <c r="Y215" i="2"/>
  <c r="U215" i="2"/>
  <c r="Z215" i="2" s="1"/>
  <c r="Y214" i="2"/>
  <c r="U214" i="2"/>
  <c r="Z214" i="2" s="1"/>
  <c r="Y213" i="2"/>
  <c r="U213" i="2"/>
  <c r="Z213" i="2" s="1"/>
  <c r="Y212" i="2"/>
  <c r="U212" i="2"/>
  <c r="Z212" i="2" s="1"/>
  <c r="Y211" i="2"/>
  <c r="U211" i="2"/>
  <c r="Z211" i="2" s="1"/>
  <c r="Y210" i="2"/>
  <c r="U210" i="2"/>
  <c r="Z210" i="2" s="1"/>
  <c r="Y209" i="2"/>
  <c r="U209" i="2"/>
  <c r="Z209" i="2" s="1"/>
  <c r="Y208" i="2"/>
  <c r="U208" i="2"/>
  <c r="Z208" i="2" s="1"/>
  <c r="Y207" i="2"/>
  <c r="U207" i="2"/>
  <c r="Z207" i="2" s="1"/>
  <c r="Y206" i="2"/>
  <c r="U206" i="2"/>
  <c r="Z206" i="2" s="1"/>
  <c r="Y205" i="2"/>
  <c r="U205" i="2"/>
  <c r="Z205" i="2" s="1"/>
  <c r="Y204" i="2"/>
  <c r="U204" i="2"/>
  <c r="Z204" i="2" s="1"/>
  <c r="Y203" i="2"/>
  <c r="U203" i="2"/>
  <c r="Z203" i="2" s="1"/>
  <c r="Y202" i="2"/>
  <c r="U202" i="2"/>
  <c r="Z202" i="2" s="1"/>
  <c r="Y201" i="2"/>
  <c r="U201" i="2"/>
  <c r="Z201" i="2" s="1"/>
  <c r="Y200" i="2"/>
  <c r="U200" i="2"/>
  <c r="Z200" i="2" s="1"/>
  <c r="Y199" i="2"/>
  <c r="U199" i="2"/>
  <c r="Z199" i="2" s="1"/>
  <c r="Y198" i="2"/>
  <c r="U198" i="2"/>
  <c r="Z198" i="2" s="1"/>
  <c r="Y197" i="2"/>
  <c r="U197" i="2"/>
  <c r="Z197" i="2" s="1"/>
  <c r="Y196" i="2"/>
  <c r="U196" i="2"/>
  <c r="Z196" i="2" s="1"/>
  <c r="Y195" i="2"/>
  <c r="U195" i="2"/>
  <c r="Z195" i="2" s="1"/>
  <c r="Y194" i="2"/>
  <c r="U194" i="2"/>
  <c r="Z194" i="2" s="1"/>
  <c r="Y193" i="2"/>
  <c r="U193" i="2"/>
  <c r="Z193" i="2" s="1"/>
  <c r="Y192" i="2"/>
  <c r="U192" i="2"/>
  <c r="Z192" i="2" s="1"/>
  <c r="Y191" i="2"/>
  <c r="U191" i="2"/>
  <c r="Z191" i="2" s="1"/>
  <c r="Y190" i="2"/>
  <c r="U190" i="2"/>
  <c r="Z190" i="2" s="1"/>
  <c r="Y189" i="2"/>
  <c r="U189" i="2"/>
  <c r="Z189" i="2" s="1"/>
  <c r="Y188" i="2"/>
  <c r="U188" i="2"/>
  <c r="Z188" i="2" s="1"/>
  <c r="Y187" i="2"/>
  <c r="U187" i="2"/>
  <c r="Z187" i="2" s="1"/>
  <c r="Y186" i="2"/>
  <c r="U186" i="2"/>
  <c r="Z186" i="2" s="1"/>
  <c r="Y185" i="2"/>
  <c r="U185" i="2"/>
  <c r="Z185" i="2" s="1"/>
  <c r="Y184" i="2"/>
  <c r="U184" i="2"/>
  <c r="Z184" i="2" s="1"/>
  <c r="Y183" i="2"/>
  <c r="U183" i="2"/>
  <c r="Z183" i="2" s="1"/>
  <c r="Y182" i="2"/>
  <c r="U182" i="2"/>
  <c r="Z182" i="2" s="1"/>
  <c r="Y181" i="2"/>
  <c r="U181" i="2"/>
  <c r="Z181" i="2" s="1"/>
  <c r="Y180" i="2"/>
  <c r="U180" i="2"/>
  <c r="Z180" i="2" s="1"/>
  <c r="Y179" i="2"/>
  <c r="U179" i="2"/>
  <c r="Z179" i="2" s="1"/>
  <c r="Y178" i="2"/>
  <c r="U178" i="2"/>
  <c r="Z178" i="2" s="1"/>
  <c r="AA178" i="2" s="1"/>
  <c r="AB178" i="2" s="1"/>
  <c r="Y177" i="2"/>
  <c r="U177" i="2"/>
  <c r="Z177" i="2" s="1"/>
  <c r="Y176" i="2"/>
  <c r="U176" i="2"/>
  <c r="Z176" i="2" s="1"/>
  <c r="Y175" i="2"/>
  <c r="U175" i="2"/>
  <c r="Z175" i="2" s="1"/>
  <c r="Y174" i="2"/>
  <c r="U174" i="2"/>
  <c r="Z174" i="2" s="1"/>
  <c r="Y173" i="2"/>
  <c r="U173" i="2"/>
  <c r="Z173" i="2" s="1"/>
  <c r="Y172" i="2"/>
  <c r="U172" i="2"/>
  <c r="Z172" i="2" s="1"/>
  <c r="Y171" i="2"/>
  <c r="U171" i="2"/>
  <c r="Z171" i="2" s="1"/>
  <c r="Y170" i="2"/>
  <c r="U170" i="2"/>
  <c r="Z170" i="2" s="1"/>
  <c r="Y169" i="2"/>
  <c r="U169" i="2"/>
  <c r="Z169" i="2" s="1"/>
  <c r="Y168" i="2"/>
  <c r="U168" i="2"/>
  <c r="Z168" i="2" s="1"/>
  <c r="Y167" i="2"/>
  <c r="U167" i="2"/>
  <c r="Z167" i="2" s="1"/>
  <c r="Y166" i="2"/>
  <c r="U166" i="2"/>
  <c r="Z166" i="2" s="1"/>
  <c r="Y165" i="2"/>
  <c r="U165" i="2"/>
  <c r="Z165" i="2" s="1"/>
  <c r="Y164" i="2"/>
  <c r="U164" i="2"/>
  <c r="Z164" i="2" s="1"/>
  <c r="Y163" i="2"/>
  <c r="U163" i="2"/>
  <c r="Z163" i="2" s="1"/>
  <c r="Y162" i="2"/>
  <c r="U162" i="2"/>
  <c r="Z162" i="2" s="1"/>
  <c r="Y161" i="2"/>
  <c r="U161" i="2"/>
  <c r="Z161" i="2" s="1"/>
  <c r="Y160" i="2"/>
  <c r="U160" i="2"/>
  <c r="Z160" i="2" s="1"/>
  <c r="Y159" i="2"/>
  <c r="U159" i="2"/>
  <c r="Z159" i="2" s="1"/>
  <c r="Y158" i="2"/>
  <c r="U158" i="2"/>
  <c r="Z158" i="2" s="1"/>
  <c r="Y157" i="2"/>
  <c r="U157" i="2"/>
  <c r="Z157" i="2" s="1"/>
  <c r="Y156" i="2"/>
  <c r="U156" i="2"/>
  <c r="Z156" i="2" s="1"/>
  <c r="Y155" i="2"/>
  <c r="U155" i="2"/>
  <c r="Z155" i="2" s="1"/>
  <c r="Y154" i="2"/>
  <c r="U154" i="2"/>
  <c r="Z154" i="2" s="1"/>
  <c r="Y153" i="2"/>
  <c r="U153" i="2"/>
  <c r="Z153" i="2" s="1"/>
  <c r="Y152" i="2"/>
  <c r="U152" i="2"/>
  <c r="Z152" i="2" s="1"/>
  <c r="Y151" i="2"/>
  <c r="U151" i="2"/>
  <c r="Z151" i="2" s="1"/>
  <c r="Y150" i="2"/>
  <c r="U150" i="2"/>
  <c r="Z150" i="2" s="1"/>
  <c r="Y149" i="2"/>
  <c r="U149" i="2"/>
  <c r="Z149" i="2" s="1"/>
  <c r="Y148" i="2"/>
  <c r="U148" i="2"/>
  <c r="Z148" i="2" s="1"/>
  <c r="Y147" i="2"/>
  <c r="U147" i="2"/>
  <c r="Z147" i="2" s="1"/>
  <c r="Y146" i="2"/>
  <c r="U146" i="2"/>
  <c r="Z146" i="2" s="1"/>
  <c r="Y145" i="2"/>
  <c r="U145" i="2"/>
  <c r="Z145" i="2" s="1"/>
  <c r="Y144" i="2"/>
  <c r="U144" i="2"/>
  <c r="Z144" i="2" s="1"/>
  <c r="Y143" i="2"/>
  <c r="U143" i="2"/>
  <c r="Z143" i="2" s="1"/>
  <c r="Y142" i="2"/>
  <c r="U142" i="2"/>
  <c r="Z142" i="2" s="1"/>
  <c r="Y141" i="2"/>
  <c r="U141" i="2"/>
  <c r="Z141" i="2" s="1"/>
  <c r="Y140" i="2"/>
  <c r="U140" i="2"/>
  <c r="Z140" i="2" s="1"/>
  <c r="Y139" i="2"/>
  <c r="U139" i="2"/>
  <c r="Z139" i="2" s="1"/>
  <c r="Y138" i="2"/>
  <c r="U138" i="2"/>
  <c r="Z138" i="2" s="1"/>
  <c r="Y137" i="2"/>
  <c r="U137" i="2"/>
  <c r="Z137" i="2" s="1"/>
  <c r="Y136" i="2"/>
  <c r="U136" i="2"/>
  <c r="Z136" i="2" s="1"/>
  <c r="Y135" i="2"/>
  <c r="U135" i="2"/>
  <c r="Z135" i="2" s="1"/>
  <c r="Y134" i="2"/>
  <c r="U134" i="2"/>
  <c r="Z134" i="2" s="1"/>
  <c r="Y133" i="2"/>
  <c r="U133" i="2"/>
  <c r="Z133" i="2" s="1"/>
  <c r="Y132" i="2"/>
  <c r="U132" i="2"/>
  <c r="Z132" i="2" s="1"/>
  <c r="Y131" i="2"/>
  <c r="U131" i="2"/>
  <c r="Z131" i="2" s="1"/>
  <c r="Y130" i="2"/>
  <c r="U130" i="2"/>
  <c r="Z130" i="2" s="1"/>
  <c r="Y129" i="2"/>
  <c r="U129" i="2"/>
  <c r="Z129" i="2" s="1"/>
  <c r="Y128" i="2"/>
  <c r="U128" i="2"/>
  <c r="Z128" i="2" s="1"/>
  <c r="Y127" i="2"/>
  <c r="U127" i="2"/>
  <c r="Z127" i="2" s="1"/>
  <c r="Y126" i="2"/>
  <c r="U126" i="2"/>
  <c r="Z126" i="2" s="1"/>
  <c r="Y125" i="2"/>
  <c r="U125" i="2"/>
  <c r="Z125" i="2" s="1"/>
  <c r="Y124" i="2"/>
  <c r="U124" i="2"/>
  <c r="Z124" i="2" s="1"/>
  <c r="Y123" i="2"/>
  <c r="U123" i="2"/>
  <c r="Z123" i="2" s="1"/>
  <c r="Y122" i="2"/>
  <c r="U122" i="2"/>
  <c r="Z122" i="2" s="1"/>
  <c r="Y121" i="2"/>
  <c r="U121" i="2"/>
  <c r="Z121" i="2" s="1"/>
  <c r="Y120" i="2"/>
  <c r="U120" i="2"/>
  <c r="Z120" i="2" s="1"/>
  <c r="Y119" i="2"/>
  <c r="U119" i="2"/>
  <c r="Z119" i="2" s="1"/>
  <c r="Y118" i="2"/>
  <c r="U118" i="2"/>
  <c r="Z118" i="2" s="1"/>
  <c r="Y117" i="2"/>
  <c r="U117" i="2"/>
  <c r="Z117" i="2" s="1"/>
  <c r="Y116" i="2"/>
  <c r="U116" i="2"/>
  <c r="Z116" i="2" s="1"/>
  <c r="Y115" i="2"/>
  <c r="U115" i="2"/>
  <c r="Z115" i="2" s="1"/>
  <c r="Y114" i="2"/>
  <c r="U114" i="2"/>
  <c r="Z114" i="2" s="1"/>
  <c r="Y113" i="2"/>
  <c r="U113" i="2"/>
  <c r="Z113" i="2" s="1"/>
  <c r="Y112" i="2"/>
  <c r="U112" i="2"/>
  <c r="Z112" i="2" s="1"/>
  <c r="Y111" i="2"/>
  <c r="U111" i="2"/>
  <c r="Z111" i="2" s="1"/>
  <c r="Y110" i="2"/>
  <c r="U110" i="2"/>
  <c r="Z110" i="2" s="1"/>
  <c r="Y109" i="2"/>
  <c r="U109" i="2"/>
  <c r="Z109" i="2" s="1"/>
  <c r="Y108" i="2"/>
  <c r="U108" i="2"/>
  <c r="Z108" i="2" s="1"/>
  <c r="Y107" i="2"/>
  <c r="U107" i="2"/>
  <c r="Z107" i="2" s="1"/>
  <c r="Y106" i="2"/>
  <c r="U106" i="2"/>
  <c r="Z106" i="2" s="1"/>
  <c r="Y105" i="2"/>
  <c r="U105" i="2"/>
  <c r="Z105" i="2" s="1"/>
  <c r="Y104" i="2"/>
  <c r="U104" i="2"/>
  <c r="Z104" i="2" s="1"/>
  <c r="Y103" i="2"/>
  <c r="U103" i="2"/>
  <c r="Z103" i="2" s="1"/>
  <c r="Y102" i="2"/>
  <c r="U102" i="2"/>
  <c r="Z102" i="2" s="1"/>
  <c r="Y101" i="2"/>
  <c r="U101" i="2"/>
  <c r="Z101" i="2" s="1"/>
  <c r="Y100" i="2"/>
  <c r="U100" i="2"/>
  <c r="Z100" i="2" s="1"/>
  <c r="Y99" i="2"/>
  <c r="U99" i="2"/>
  <c r="Z99" i="2" s="1"/>
  <c r="Y98" i="2"/>
  <c r="U98" i="2"/>
  <c r="Z98" i="2" s="1"/>
  <c r="Y97" i="2"/>
  <c r="U97" i="2"/>
  <c r="Z97" i="2" s="1"/>
  <c r="Y96" i="2"/>
  <c r="U96" i="2"/>
  <c r="Z96" i="2" s="1"/>
  <c r="Y95" i="2"/>
  <c r="U95" i="2"/>
  <c r="Z95" i="2" s="1"/>
  <c r="Y94" i="2"/>
  <c r="U94" i="2"/>
  <c r="Z94" i="2" s="1"/>
  <c r="Y93" i="2"/>
  <c r="U93" i="2"/>
  <c r="Z93" i="2" s="1"/>
  <c r="Y92" i="2"/>
  <c r="U92" i="2"/>
  <c r="Z92" i="2" s="1"/>
  <c r="Y91" i="2"/>
  <c r="U91" i="2"/>
  <c r="Z91" i="2" s="1"/>
  <c r="Y90" i="2"/>
  <c r="U90" i="2"/>
  <c r="Z90" i="2" s="1"/>
  <c r="Y89" i="2"/>
  <c r="U89" i="2"/>
  <c r="Z89" i="2" s="1"/>
  <c r="Y88" i="2"/>
  <c r="U88" i="2"/>
  <c r="Z88" i="2" s="1"/>
  <c r="Y87" i="2"/>
  <c r="U87" i="2"/>
  <c r="Z87" i="2" s="1"/>
  <c r="Y86" i="2"/>
  <c r="U86" i="2"/>
  <c r="Z86" i="2" s="1"/>
  <c r="Y85" i="2"/>
  <c r="U85" i="2"/>
  <c r="Z85" i="2" s="1"/>
  <c r="Y84" i="2"/>
  <c r="U84" i="2"/>
  <c r="Z84" i="2" s="1"/>
  <c r="Y83" i="2"/>
  <c r="U83" i="2"/>
  <c r="Z83" i="2" s="1"/>
  <c r="Y82" i="2"/>
  <c r="U82" i="2"/>
  <c r="Z82" i="2" s="1"/>
  <c r="Y81" i="2"/>
  <c r="U81" i="2"/>
  <c r="Z81" i="2" s="1"/>
  <c r="Y80" i="2"/>
  <c r="U80" i="2"/>
  <c r="Z80" i="2" s="1"/>
  <c r="Y79" i="2"/>
  <c r="U79" i="2"/>
  <c r="Z79" i="2" s="1"/>
  <c r="Y78" i="2"/>
  <c r="U78" i="2"/>
  <c r="Z78" i="2" s="1"/>
  <c r="Y77" i="2"/>
  <c r="U77" i="2"/>
  <c r="Z77" i="2" s="1"/>
  <c r="Y76" i="2"/>
  <c r="U76" i="2"/>
  <c r="Z76" i="2" s="1"/>
  <c r="Y75" i="2"/>
  <c r="U75" i="2"/>
  <c r="Z75" i="2" s="1"/>
  <c r="Y74" i="2"/>
  <c r="U74" i="2"/>
  <c r="Z74" i="2" s="1"/>
  <c r="Y73" i="2"/>
  <c r="U73" i="2"/>
  <c r="Z73" i="2" s="1"/>
  <c r="Y72" i="2"/>
  <c r="U72" i="2"/>
  <c r="Z72" i="2" s="1"/>
  <c r="Y71" i="2"/>
  <c r="U71" i="2"/>
  <c r="Z71" i="2" s="1"/>
  <c r="Y70" i="2"/>
  <c r="U70" i="2"/>
  <c r="Z70" i="2" s="1"/>
  <c r="Y69" i="2"/>
  <c r="U69" i="2"/>
  <c r="Z69" i="2" s="1"/>
  <c r="Y68" i="2"/>
  <c r="U68" i="2"/>
  <c r="Z68" i="2" s="1"/>
  <c r="Y67" i="2"/>
  <c r="U67" i="2"/>
  <c r="Z67" i="2" s="1"/>
  <c r="Y66" i="2"/>
  <c r="U66" i="2"/>
  <c r="Z66" i="2" s="1"/>
  <c r="Y65" i="2"/>
  <c r="U65" i="2"/>
  <c r="Z65" i="2" s="1"/>
  <c r="Y64" i="2"/>
  <c r="U64" i="2"/>
  <c r="Z64" i="2" s="1"/>
  <c r="Y63" i="2"/>
  <c r="U63" i="2"/>
  <c r="Z63" i="2" s="1"/>
  <c r="Y62" i="2"/>
  <c r="U62" i="2"/>
  <c r="Z62" i="2" s="1"/>
  <c r="Y61" i="2"/>
  <c r="U61" i="2"/>
  <c r="Z61" i="2" s="1"/>
  <c r="Y60" i="2"/>
  <c r="U60" i="2"/>
  <c r="Z60" i="2" s="1"/>
  <c r="Y59" i="2"/>
  <c r="U59" i="2"/>
  <c r="Z59" i="2" s="1"/>
  <c r="Y58" i="2"/>
  <c r="U58" i="2"/>
  <c r="Z58" i="2" s="1"/>
  <c r="Y57" i="2"/>
  <c r="U57" i="2"/>
  <c r="Z57" i="2" s="1"/>
  <c r="Y56" i="2"/>
  <c r="U56" i="2"/>
  <c r="Z56" i="2" s="1"/>
  <c r="Y55" i="2"/>
  <c r="U55" i="2"/>
  <c r="Z55" i="2" s="1"/>
  <c r="Y54" i="2"/>
  <c r="U54" i="2"/>
  <c r="Z54" i="2" s="1"/>
  <c r="Y53" i="2"/>
  <c r="U53" i="2"/>
  <c r="Z53" i="2" s="1"/>
  <c r="Y52" i="2"/>
  <c r="U52" i="2"/>
  <c r="Z52" i="2" s="1"/>
  <c r="Y51" i="2"/>
  <c r="U51" i="2"/>
  <c r="Z51" i="2" s="1"/>
  <c r="Y50" i="2"/>
  <c r="U50" i="2"/>
  <c r="Z50" i="2" s="1"/>
  <c r="Y49" i="2"/>
  <c r="U49" i="2"/>
  <c r="Z49" i="2" s="1"/>
  <c r="Y48" i="2"/>
  <c r="U48" i="2"/>
  <c r="Z48" i="2" s="1"/>
  <c r="Y47" i="2"/>
  <c r="U47" i="2"/>
  <c r="Z47" i="2" s="1"/>
  <c r="Y46" i="2"/>
  <c r="U46" i="2"/>
  <c r="Z46" i="2" s="1"/>
  <c r="Y45" i="2"/>
  <c r="U45" i="2"/>
  <c r="Z45" i="2" s="1"/>
  <c r="Y44" i="2"/>
  <c r="U44" i="2"/>
  <c r="Z44" i="2" s="1"/>
  <c r="Y43" i="2"/>
  <c r="U43" i="2"/>
  <c r="Z43" i="2" s="1"/>
  <c r="Y42" i="2"/>
  <c r="U42" i="2"/>
  <c r="Z42" i="2" s="1"/>
  <c r="Y41" i="2"/>
  <c r="U41" i="2"/>
  <c r="Z41" i="2" s="1"/>
  <c r="Y40" i="2"/>
  <c r="U40" i="2"/>
  <c r="Z40" i="2" s="1"/>
  <c r="Y39" i="2"/>
  <c r="U39" i="2"/>
  <c r="Z39" i="2" s="1"/>
  <c r="Y38" i="2"/>
  <c r="U38" i="2"/>
  <c r="Z38" i="2" s="1"/>
  <c r="Y37" i="2"/>
  <c r="U37" i="2"/>
  <c r="Z37" i="2" s="1"/>
  <c r="Y36" i="2"/>
  <c r="U36" i="2"/>
  <c r="Z36" i="2" s="1"/>
  <c r="Y35" i="2"/>
  <c r="U35" i="2"/>
  <c r="Z35" i="2" s="1"/>
  <c r="Y34" i="2"/>
  <c r="U34" i="2"/>
  <c r="Z34" i="2" s="1"/>
  <c r="Y33" i="2"/>
  <c r="U33" i="2"/>
  <c r="Z33" i="2" s="1"/>
  <c r="Y32" i="2"/>
  <c r="U32" i="2"/>
  <c r="Z32" i="2" s="1"/>
  <c r="Y31" i="2"/>
  <c r="U31" i="2"/>
  <c r="Z31" i="2" s="1"/>
  <c r="Y30" i="2"/>
  <c r="U30" i="2"/>
  <c r="Z30" i="2" s="1"/>
  <c r="Y29" i="2"/>
  <c r="U29" i="2"/>
  <c r="Z29" i="2" s="1"/>
  <c r="Y28" i="2"/>
  <c r="U28" i="2"/>
  <c r="Z28" i="2" s="1"/>
  <c r="Y27" i="2"/>
  <c r="U27" i="2"/>
  <c r="Z27" i="2" s="1"/>
  <c r="Y26" i="2"/>
  <c r="U26" i="2"/>
  <c r="Z26" i="2" s="1"/>
  <c r="Y25" i="2"/>
  <c r="U25" i="2"/>
  <c r="Z25" i="2" s="1"/>
  <c r="Y24" i="2"/>
  <c r="U24" i="2"/>
  <c r="Z24" i="2" s="1"/>
  <c r="Y23" i="2"/>
  <c r="U23" i="2"/>
  <c r="Z23" i="2" s="1"/>
  <c r="Y22" i="2"/>
  <c r="U22" i="2"/>
  <c r="Z22" i="2" s="1"/>
  <c r="Y21" i="2"/>
  <c r="U21" i="2"/>
  <c r="Z21" i="2" s="1"/>
  <c r="Y20" i="2"/>
  <c r="U20" i="2"/>
  <c r="Z20" i="2" s="1"/>
  <c r="Y19" i="2"/>
  <c r="U19" i="2"/>
  <c r="Z19" i="2" s="1"/>
  <c r="Y18" i="2"/>
  <c r="U18" i="2"/>
  <c r="Z18" i="2" s="1"/>
  <c r="Y17" i="2"/>
  <c r="U17" i="2"/>
  <c r="Z17" i="2" s="1"/>
  <c r="Y16" i="2"/>
  <c r="U16" i="2"/>
  <c r="Z16" i="2" s="1"/>
  <c r="Y15" i="2"/>
  <c r="U15" i="2"/>
  <c r="Z15" i="2" s="1"/>
  <c r="Y14" i="2"/>
  <c r="U14" i="2"/>
  <c r="Z14" i="2" s="1"/>
  <c r="Y13" i="2"/>
  <c r="U13" i="2"/>
  <c r="Z13" i="2" s="1"/>
  <c r="Y12" i="2"/>
  <c r="U12" i="2"/>
  <c r="Z12" i="2" s="1"/>
  <c r="Y11" i="2"/>
  <c r="U11" i="2"/>
  <c r="Z11" i="2" s="1"/>
  <c r="Y10" i="2"/>
  <c r="U10" i="2"/>
  <c r="Z10" i="2" s="1"/>
  <c r="Y9" i="2"/>
  <c r="U9" i="2"/>
  <c r="Z9" i="2" s="1"/>
  <c r="Y8" i="2"/>
  <c r="U8" i="2"/>
  <c r="Z8" i="2" s="1"/>
  <c r="Y7" i="2"/>
  <c r="U7" i="2"/>
  <c r="Z7" i="2" s="1"/>
  <c r="Y6" i="2"/>
  <c r="U6" i="2"/>
  <c r="Z6" i="2" s="1"/>
  <c r="Y5" i="2"/>
  <c r="U5" i="2"/>
  <c r="Z5" i="2" s="1"/>
  <c r="Y4" i="2"/>
  <c r="U4" i="2"/>
  <c r="Z4" i="2" s="1"/>
  <c r="Y3" i="2"/>
  <c r="U3" i="2"/>
  <c r="Z3" i="2" s="1"/>
  <c r="Y2" i="2"/>
  <c r="U2" i="2"/>
  <c r="Z2" i="2" s="1"/>
  <c r="AA683" i="2" l="1"/>
  <c r="AB683" i="2" s="1"/>
  <c r="AA668" i="2"/>
  <c r="AB668" i="2" s="1"/>
  <c r="AA53" i="2"/>
  <c r="AB53" i="2" s="1"/>
  <c r="AA85" i="2"/>
  <c r="AB85" i="2" s="1"/>
  <c r="AA117" i="2"/>
  <c r="AB117" i="2" s="1"/>
  <c r="AA125" i="2"/>
  <c r="AB125" i="2" s="1"/>
  <c r="AA181" i="2"/>
  <c r="AB181" i="2" s="1"/>
  <c r="AA189" i="2"/>
  <c r="AB189" i="2" s="1"/>
  <c r="AA237" i="2"/>
  <c r="AB237" i="2" s="1"/>
  <c r="AA333" i="2"/>
  <c r="AB333" i="2" s="1"/>
  <c r="AA852" i="2"/>
  <c r="AB852" i="2" s="1"/>
  <c r="AA900" i="2"/>
  <c r="AB900" i="2" s="1"/>
  <c r="AA1068" i="2"/>
  <c r="AB1068" i="2" s="1"/>
  <c r="AA1076" i="2"/>
  <c r="AB1076" i="2" s="1"/>
  <c r="AA1084" i="2"/>
  <c r="AB1084" i="2" s="1"/>
  <c r="AA1116" i="2"/>
  <c r="AB1116" i="2" s="1"/>
  <c r="AA150" i="2"/>
  <c r="AB150" i="2" s="1"/>
  <c r="AA190" i="2"/>
  <c r="AB190" i="2" s="1"/>
  <c r="AA861" i="2"/>
  <c r="AB861" i="2" s="1"/>
  <c r="AA877" i="2"/>
  <c r="AB877" i="2" s="1"/>
  <c r="AA893" i="2"/>
  <c r="AB893" i="2" s="1"/>
  <c r="AA909" i="2"/>
  <c r="AB909" i="2" s="1"/>
  <c r="AA1006" i="2"/>
  <c r="AB1006" i="2" s="1"/>
  <c r="AA1038" i="2"/>
  <c r="AB1038" i="2" s="1"/>
  <c r="AA465" i="2"/>
  <c r="AB465" i="2" s="1"/>
  <c r="AA473" i="2"/>
  <c r="AB473" i="2" s="1"/>
  <c r="AA529" i="2"/>
  <c r="AB529" i="2" s="1"/>
  <c r="AA593" i="2"/>
  <c r="AB593" i="2" s="1"/>
  <c r="AA721" i="2"/>
  <c r="AB721" i="2" s="1"/>
  <c r="AA716" i="2"/>
  <c r="AB716" i="2" s="1"/>
  <c r="AA764" i="2"/>
  <c r="AB764" i="2" s="1"/>
  <c r="AA6" i="2"/>
  <c r="AB6" i="2" s="1"/>
  <c r="AA629" i="2"/>
  <c r="AB629" i="2" s="1"/>
  <c r="AA645" i="2"/>
  <c r="AB645" i="2" s="1"/>
  <c r="AA191" i="2"/>
  <c r="AB191" i="2" s="1"/>
  <c r="AA478" i="2"/>
  <c r="AB478" i="2" s="1"/>
  <c r="AA486" i="2"/>
  <c r="AB486" i="2" s="1"/>
  <c r="AA630" i="2"/>
  <c r="AB630" i="2" s="1"/>
  <c r="AA638" i="2"/>
  <c r="AB638" i="2" s="1"/>
  <c r="AA654" i="2"/>
  <c r="AB654" i="2" s="1"/>
  <c r="AA639" i="2"/>
  <c r="AB639" i="2" s="1"/>
  <c r="AA727" i="2"/>
  <c r="AB727" i="2" s="1"/>
  <c r="AA625" i="2"/>
  <c r="AB625" i="2" s="1"/>
  <c r="AA139" i="2"/>
  <c r="AB139" i="2" s="1"/>
  <c r="AA187" i="2"/>
  <c r="AB187" i="2" s="1"/>
  <c r="AA450" i="2"/>
  <c r="AB450" i="2" s="1"/>
  <c r="AA458" i="2"/>
  <c r="AB458" i="2" s="1"/>
  <c r="AA482" i="2"/>
  <c r="AB482" i="2" s="1"/>
  <c r="AA658" i="2"/>
  <c r="AB658" i="2" s="1"/>
  <c r="AA754" i="2"/>
  <c r="AB754" i="2" s="1"/>
  <c r="AA24" i="2"/>
  <c r="AB24" i="2" s="1"/>
  <c r="AA48" i="2"/>
  <c r="AB48" i="2" s="1"/>
  <c r="AA812" i="2"/>
  <c r="AB812" i="2" s="1"/>
  <c r="AA963" i="2"/>
  <c r="AB963" i="2" s="1"/>
  <c r="AA73" i="2"/>
  <c r="AB73" i="2" s="1"/>
  <c r="AA89" i="2"/>
  <c r="AB89" i="2" s="1"/>
  <c r="AA232" i="2"/>
  <c r="AB232" i="2" s="1"/>
  <c r="AA956" i="2"/>
  <c r="AB956" i="2" s="1"/>
  <c r="AA34" i="2"/>
  <c r="AB34" i="2" s="1"/>
  <c r="AA353" i="2"/>
  <c r="AB353" i="2" s="1"/>
  <c r="AA377" i="2"/>
  <c r="AB377" i="2" s="1"/>
  <c r="AA385" i="2"/>
  <c r="AB385" i="2" s="1"/>
  <c r="AA511" i="2"/>
  <c r="AB511" i="2" s="1"/>
  <c r="AA782" i="2"/>
  <c r="AB782" i="2" s="1"/>
  <c r="AA1021" i="2"/>
  <c r="AB1021" i="2" s="1"/>
  <c r="AA1085" i="2"/>
  <c r="AB1085" i="2" s="1"/>
  <c r="AA1101" i="2"/>
  <c r="AB1101" i="2" s="1"/>
  <c r="AA839" i="2"/>
  <c r="AB839" i="2" s="1"/>
  <c r="AA92" i="2"/>
  <c r="AB92" i="2" s="1"/>
  <c r="AA100" i="2"/>
  <c r="AB100" i="2" s="1"/>
  <c r="AA243" i="2"/>
  <c r="AB243" i="2" s="1"/>
  <c r="AA251" i="2"/>
  <c r="AB251" i="2" s="1"/>
  <c r="AA275" i="2"/>
  <c r="AB275" i="2" s="1"/>
  <c r="AA371" i="2"/>
  <c r="AB371" i="2" s="1"/>
  <c r="AA434" i="2"/>
  <c r="AB434" i="2" s="1"/>
  <c r="AA975" i="2"/>
  <c r="AB975" i="2" s="1"/>
  <c r="AA983" i="2"/>
  <c r="AB983" i="2" s="1"/>
  <c r="AA244" i="2"/>
  <c r="AB244" i="2" s="1"/>
  <c r="AA276" i="2"/>
  <c r="AB276" i="2" s="1"/>
  <c r="AA506" i="2"/>
  <c r="AB506" i="2" s="1"/>
  <c r="AA952" i="2"/>
  <c r="AB952" i="2" s="1"/>
  <c r="AA611" i="2"/>
  <c r="AB611" i="2" s="1"/>
  <c r="AA627" i="2"/>
  <c r="AB627" i="2" s="1"/>
  <c r="AA643" i="2"/>
  <c r="AB643" i="2" s="1"/>
  <c r="AA651" i="2"/>
  <c r="AB651" i="2" s="1"/>
  <c r="AA739" i="2"/>
  <c r="AB739" i="2" s="1"/>
  <c r="AA755" i="2"/>
  <c r="AB755" i="2" s="1"/>
  <c r="AA922" i="2"/>
  <c r="AB922" i="2" s="1"/>
  <c r="AA1041" i="2"/>
  <c r="AB1041" i="2" s="1"/>
  <c r="AA47" i="2"/>
  <c r="AB47" i="2" s="1"/>
  <c r="AA55" i="2"/>
  <c r="AB55" i="2" s="1"/>
  <c r="AA63" i="2"/>
  <c r="AB63" i="2" s="1"/>
  <c r="AA103" i="2"/>
  <c r="AB103" i="2" s="1"/>
  <c r="AA206" i="2"/>
  <c r="AB206" i="2" s="1"/>
  <c r="AA222" i="2"/>
  <c r="AB222" i="2" s="1"/>
  <c r="AA230" i="2"/>
  <c r="AB230" i="2" s="1"/>
  <c r="AA382" i="2"/>
  <c r="AB382" i="2" s="1"/>
  <c r="AA835" i="2"/>
  <c r="AB835" i="2" s="1"/>
  <c r="AA263" i="2"/>
  <c r="AB263" i="2" s="1"/>
  <c r="AA295" i="2"/>
  <c r="AB295" i="2" s="1"/>
  <c r="AA429" i="2"/>
  <c r="AB429" i="2" s="1"/>
  <c r="AA452" i="2"/>
  <c r="AB452" i="2" s="1"/>
  <c r="AA698" i="2"/>
  <c r="AB698" i="2" s="1"/>
  <c r="AA769" i="2"/>
  <c r="AB769" i="2" s="1"/>
  <c r="AA800" i="2"/>
  <c r="AB800" i="2" s="1"/>
  <c r="AA808" i="2"/>
  <c r="AB808" i="2" s="1"/>
  <c r="AA950" i="2"/>
  <c r="AB950" i="2" s="1"/>
  <c r="AA958" i="2"/>
  <c r="AB958" i="2" s="1"/>
  <c r="AA477" i="2"/>
  <c r="AB477" i="2" s="1"/>
  <c r="AA572" i="2"/>
  <c r="AB572" i="2" s="1"/>
  <c r="AA604" i="2"/>
  <c r="AB604" i="2" s="1"/>
  <c r="AA770" i="2"/>
  <c r="AB770" i="2" s="1"/>
  <c r="AA801" i="2"/>
  <c r="AB801" i="2" s="1"/>
  <c r="AA352" i="2"/>
  <c r="AB352" i="2" s="1"/>
  <c r="AA509" i="2"/>
  <c r="AB509" i="2" s="1"/>
  <c r="AA517" i="2"/>
  <c r="AB517" i="2" s="1"/>
  <c r="AA305" i="2"/>
  <c r="AB305" i="2" s="1"/>
  <c r="AA329" i="2"/>
  <c r="AB329" i="2" s="1"/>
  <c r="AA557" i="2"/>
  <c r="AB557" i="2" s="1"/>
  <c r="AA676" i="2"/>
  <c r="AB676" i="2" s="1"/>
  <c r="AA194" i="2"/>
  <c r="AB194" i="2" s="1"/>
  <c r="AA582" i="2"/>
  <c r="AB582" i="2" s="1"/>
  <c r="AA590" i="2"/>
  <c r="AB590" i="2" s="1"/>
  <c r="AA1054" i="2"/>
  <c r="AB1054" i="2" s="1"/>
  <c r="AA480" i="2"/>
  <c r="AB480" i="2" s="1"/>
  <c r="AA527" i="2"/>
  <c r="AB527" i="2" s="1"/>
  <c r="AA551" i="2"/>
  <c r="AB551" i="2" s="1"/>
  <c r="AA773" i="2"/>
  <c r="AB773" i="2" s="1"/>
  <c r="AA780" i="2"/>
  <c r="AB780" i="2" s="1"/>
  <c r="AA796" i="2"/>
  <c r="AB796" i="2" s="1"/>
  <c r="AA1055" i="2"/>
  <c r="AB1055" i="2" s="1"/>
  <c r="AA845" i="2"/>
  <c r="AB845" i="2" s="1"/>
  <c r="AA96" i="2"/>
  <c r="AB96" i="2" s="1"/>
  <c r="AA420" i="2"/>
  <c r="AB420" i="2" s="1"/>
  <c r="AA467" i="2"/>
  <c r="AB467" i="2" s="1"/>
  <c r="AA562" i="2"/>
  <c r="AB562" i="2" s="1"/>
  <c r="AA578" i="2"/>
  <c r="AB578" i="2" s="1"/>
  <c r="AA594" i="2"/>
  <c r="AB594" i="2" s="1"/>
  <c r="AA846" i="2"/>
  <c r="AB846" i="2" s="1"/>
  <c r="AA1090" i="2"/>
  <c r="AB1090" i="2" s="1"/>
  <c r="AA955" i="2"/>
  <c r="AB955" i="2" s="1"/>
  <c r="AA166" i="2"/>
  <c r="AB166" i="2" s="1"/>
  <c r="AA174" i="2"/>
  <c r="AB174" i="2" s="1"/>
  <c r="AA624" i="2"/>
  <c r="AB624" i="2" s="1"/>
  <c r="AA670" i="2"/>
  <c r="AB670" i="2" s="1"/>
  <c r="AA119" i="2"/>
  <c r="AB119" i="2" s="1"/>
  <c r="AA127" i="2"/>
  <c r="AB127" i="2" s="1"/>
  <c r="AA910" i="2"/>
  <c r="AB910" i="2" s="1"/>
  <c r="AA301" i="2"/>
  <c r="AB301" i="2" s="1"/>
  <c r="AA340" i="2"/>
  <c r="AB340" i="2" s="1"/>
  <c r="AA348" i="2"/>
  <c r="AB348" i="2" s="1"/>
  <c r="AA499" i="2"/>
  <c r="AB499" i="2" s="1"/>
  <c r="AA656" i="2"/>
  <c r="AB656" i="2" s="1"/>
  <c r="AA671" i="2"/>
  <c r="AB671" i="2" s="1"/>
  <c r="AA717" i="2"/>
  <c r="AB717" i="2" s="1"/>
  <c r="AA786" i="2"/>
  <c r="AB786" i="2" s="1"/>
  <c r="AA794" i="2"/>
  <c r="AB794" i="2" s="1"/>
  <c r="AA833" i="2"/>
  <c r="AB833" i="2" s="1"/>
  <c r="AA926" i="2"/>
  <c r="AB926" i="2" s="1"/>
  <c r="AA942" i="2"/>
  <c r="AB942" i="2" s="1"/>
  <c r="AA1004" i="2"/>
  <c r="AB1004" i="2" s="1"/>
  <c r="AA1070" i="2"/>
  <c r="AB1070" i="2" s="1"/>
  <c r="AA1117" i="2"/>
  <c r="AB1117" i="2" s="1"/>
  <c r="AA254" i="2"/>
  <c r="AB254" i="2" s="1"/>
  <c r="AA262" i="2"/>
  <c r="AB262" i="2" s="1"/>
  <c r="AA270" i="2"/>
  <c r="AB270" i="2" s="1"/>
  <c r="AA302" i="2"/>
  <c r="AB302" i="2" s="1"/>
  <c r="AA310" i="2"/>
  <c r="AB310" i="2" s="1"/>
  <c r="AA326" i="2"/>
  <c r="AB326" i="2" s="1"/>
  <c r="AA657" i="2"/>
  <c r="AB657" i="2" s="1"/>
  <c r="AA672" i="2"/>
  <c r="AB672" i="2" s="1"/>
  <c r="AA749" i="2"/>
  <c r="AB749" i="2" s="1"/>
  <c r="AA818" i="2"/>
  <c r="AB818" i="2" s="1"/>
  <c r="AA943" i="2"/>
  <c r="AB943" i="2" s="1"/>
  <c r="AA1102" i="2"/>
  <c r="AB1102" i="2" s="1"/>
  <c r="AA387" i="2"/>
  <c r="AB387" i="2" s="1"/>
  <c r="AA425" i="2"/>
  <c r="AB425" i="2" s="1"/>
  <c r="AA440" i="2"/>
  <c r="AB440" i="2" s="1"/>
  <c r="AA501" i="2"/>
  <c r="AB501" i="2" s="1"/>
  <c r="AA532" i="2"/>
  <c r="AB532" i="2" s="1"/>
  <c r="AA556" i="2"/>
  <c r="AB556" i="2" s="1"/>
  <c r="AA665" i="2"/>
  <c r="AB665" i="2" s="1"/>
  <c r="AA811" i="2"/>
  <c r="AB811" i="2" s="1"/>
  <c r="AA888" i="2"/>
  <c r="AB888" i="2" s="1"/>
  <c r="AA1020" i="2"/>
  <c r="AB1020" i="2" s="1"/>
  <c r="AA154" i="2"/>
  <c r="AB154" i="2" s="1"/>
  <c r="AA170" i="2"/>
  <c r="AB170" i="2" s="1"/>
  <c r="AA201" i="2"/>
  <c r="AB201" i="2" s="1"/>
  <c r="AA419" i="2"/>
  <c r="AB419" i="2" s="1"/>
  <c r="AA510" i="2"/>
  <c r="AB510" i="2" s="1"/>
  <c r="AA612" i="2"/>
  <c r="AB612" i="2" s="1"/>
  <c r="AA659" i="2"/>
  <c r="AB659" i="2" s="1"/>
  <c r="AA704" i="2"/>
  <c r="AB704" i="2" s="1"/>
  <c r="AA712" i="2"/>
  <c r="AB712" i="2" s="1"/>
  <c r="AA828" i="2"/>
  <c r="AB828" i="2" s="1"/>
  <c r="AA843" i="2"/>
  <c r="AB843" i="2" s="1"/>
  <c r="AA84" i="2"/>
  <c r="AB84" i="2" s="1"/>
  <c r="AA241" i="2"/>
  <c r="AB241" i="2" s="1"/>
  <c r="AA526" i="2"/>
  <c r="AB526" i="2" s="1"/>
  <c r="AA542" i="2"/>
  <c r="AB542" i="2" s="1"/>
  <c r="AA566" i="2"/>
  <c r="AB566" i="2" s="1"/>
  <c r="AA581" i="2"/>
  <c r="AB581" i="2" s="1"/>
  <c r="AA844" i="2"/>
  <c r="AB844" i="2" s="1"/>
  <c r="AA890" i="2"/>
  <c r="AB890" i="2" s="1"/>
  <c r="AA906" i="2"/>
  <c r="AB906" i="2" s="1"/>
  <c r="AA1014" i="2"/>
  <c r="AB1014" i="2" s="1"/>
  <c r="AA1022" i="2"/>
  <c r="AB1022" i="2" s="1"/>
  <c r="AA1030" i="2"/>
  <c r="AB1030" i="2" s="1"/>
  <c r="AA1044" i="2"/>
  <c r="AB1044" i="2" s="1"/>
  <c r="AA1051" i="2"/>
  <c r="AB1051" i="2" s="1"/>
  <c r="AA1066" i="2"/>
  <c r="AB1066" i="2" s="1"/>
  <c r="AA226" i="2"/>
  <c r="AB226" i="2" s="1"/>
  <c r="AA435" i="2"/>
  <c r="AB435" i="2" s="1"/>
  <c r="AA915" i="2"/>
  <c r="AB915" i="2" s="1"/>
  <c r="AA1059" i="2"/>
  <c r="AB1059" i="2" s="1"/>
  <c r="AA62" i="2"/>
  <c r="AB62" i="2" s="1"/>
  <c r="AA274" i="2"/>
  <c r="AB274" i="2" s="1"/>
  <c r="AA298" i="2"/>
  <c r="AB298" i="2" s="1"/>
  <c r="AA322" i="2"/>
  <c r="AB322" i="2" s="1"/>
  <c r="AA421" i="2"/>
  <c r="AB421" i="2" s="1"/>
  <c r="AA436" i="2"/>
  <c r="AB436" i="2" s="1"/>
  <c r="AA481" i="2"/>
  <c r="AB481" i="2" s="1"/>
  <c r="AA489" i="2"/>
  <c r="AB489" i="2" s="1"/>
  <c r="AA512" i="2"/>
  <c r="AB512" i="2" s="1"/>
  <c r="AA753" i="2"/>
  <c r="AB753" i="2" s="1"/>
  <c r="AA814" i="2"/>
  <c r="AB814" i="2" s="1"/>
  <c r="AA43" i="2"/>
  <c r="AB43" i="2" s="1"/>
  <c r="AA58" i="2"/>
  <c r="AB58" i="2" s="1"/>
  <c r="AA66" i="2"/>
  <c r="AB66" i="2" s="1"/>
  <c r="AA132" i="2"/>
  <c r="AB132" i="2" s="1"/>
  <c r="AA186" i="2"/>
  <c r="AB186" i="2" s="1"/>
  <c r="AA279" i="2"/>
  <c r="AB279" i="2" s="1"/>
  <c r="AA309" i="2"/>
  <c r="AB309" i="2" s="1"/>
  <c r="AA361" i="2"/>
  <c r="AB361" i="2" s="1"/>
  <c r="AA405" i="2"/>
  <c r="AB405" i="2" s="1"/>
  <c r="AA485" i="2"/>
  <c r="AB485" i="2" s="1"/>
  <c r="AA493" i="2"/>
  <c r="AB493" i="2" s="1"/>
  <c r="AA500" i="2"/>
  <c r="AB500" i="2" s="1"/>
  <c r="AA537" i="2"/>
  <c r="AB537" i="2" s="1"/>
  <c r="AA589" i="2"/>
  <c r="AB589" i="2" s="1"/>
  <c r="AA619" i="2"/>
  <c r="AB619" i="2" s="1"/>
  <c r="AA626" i="2"/>
  <c r="AB626" i="2" s="1"/>
  <c r="AA634" i="2"/>
  <c r="AB634" i="2" s="1"/>
  <c r="AA642" i="2"/>
  <c r="AB642" i="2" s="1"/>
  <c r="AA686" i="2"/>
  <c r="AB686" i="2" s="1"/>
  <c r="AA694" i="2"/>
  <c r="AB694" i="2" s="1"/>
  <c r="AA748" i="2"/>
  <c r="AB748" i="2" s="1"/>
  <c r="AA785" i="2"/>
  <c r="AB785" i="2" s="1"/>
  <c r="AA793" i="2"/>
  <c r="AB793" i="2" s="1"/>
  <c r="AA1053" i="2"/>
  <c r="AB1053" i="2" s="1"/>
  <c r="AA1083" i="2"/>
  <c r="AB1083" i="2" s="1"/>
  <c r="AA1098" i="2"/>
  <c r="AB1098" i="2" s="1"/>
  <c r="AA1112" i="2"/>
  <c r="AB1112" i="2" s="1"/>
  <c r="AA156" i="2"/>
  <c r="AB156" i="2" s="1"/>
  <c r="AA233" i="2"/>
  <c r="AB233" i="2" s="1"/>
  <c r="AA256" i="2"/>
  <c r="AB256" i="2" s="1"/>
  <c r="AA449" i="2"/>
  <c r="AB449" i="2" s="1"/>
  <c r="AA456" i="2"/>
  <c r="AB456" i="2" s="1"/>
  <c r="AA464" i="2"/>
  <c r="AB464" i="2" s="1"/>
  <c r="AA390" i="2"/>
  <c r="AB390" i="2" s="1"/>
  <c r="AA702" i="2"/>
  <c r="AB702" i="2" s="1"/>
  <c r="AA920" i="2"/>
  <c r="AB920" i="2" s="1"/>
  <c r="AA51" i="2"/>
  <c r="AB51" i="2" s="1"/>
  <c r="AA74" i="2"/>
  <c r="AB74" i="2" s="1"/>
  <c r="AA81" i="2"/>
  <c r="AB81" i="2" s="1"/>
  <c r="AA118" i="2"/>
  <c r="AB118" i="2" s="1"/>
  <c r="AA126" i="2"/>
  <c r="AB126" i="2" s="1"/>
  <c r="AA157" i="2"/>
  <c r="AB157" i="2" s="1"/>
  <c r="AA334" i="2"/>
  <c r="AB334" i="2" s="1"/>
  <c r="AA376" i="2"/>
  <c r="AB376" i="2" s="1"/>
  <c r="AA384" i="2"/>
  <c r="AB384" i="2" s="1"/>
  <c r="AA457" i="2"/>
  <c r="AB457" i="2" s="1"/>
  <c r="AA472" i="2"/>
  <c r="AB472" i="2" s="1"/>
  <c r="AA516" i="2"/>
  <c r="AB516" i="2" s="1"/>
  <c r="AA546" i="2"/>
  <c r="AB546" i="2" s="1"/>
  <c r="AA598" i="2"/>
  <c r="AB598" i="2" s="1"/>
  <c r="AA606" i="2"/>
  <c r="AB606" i="2" s="1"/>
  <c r="AA703" i="2"/>
  <c r="AB703" i="2" s="1"/>
  <c r="AA734" i="2"/>
  <c r="AB734" i="2" s="1"/>
  <c r="AA742" i="2"/>
  <c r="AB742" i="2" s="1"/>
  <c r="AA810" i="2"/>
  <c r="AB810" i="2" s="1"/>
  <c r="AA817" i="2"/>
  <c r="AB817" i="2" s="1"/>
  <c r="AA862" i="2"/>
  <c r="AB862" i="2" s="1"/>
  <c r="AA870" i="2"/>
  <c r="AB870" i="2" s="1"/>
  <c r="AA892" i="2"/>
  <c r="AB892" i="2" s="1"/>
  <c r="AA989" i="2"/>
  <c r="AB989" i="2" s="1"/>
  <c r="AA1062" i="2"/>
  <c r="AB1062" i="2" s="1"/>
  <c r="AA1121" i="2"/>
  <c r="AB1121" i="2" s="1"/>
  <c r="AA14" i="2"/>
  <c r="AB14" i="2" s="1"/>
  <c r="AA22" i="2"/>
  <c r="AB22" i="2" s="1"/>
  <c r="AA196" i="2"/>
  <c r="AB196" i="2" s="1"/>
  <c r="AA211" i="2"/>
  <c r="AB211" i="2" s="1"/>
  <c r="AA219" i="2"/>
  <c r="AB219" i="2" s="1"/>
  <c r="AA227" i="2"/>
  <c r="AB227" i="2" s="1"/>
  <c r="AA281" i="2"/>
  <c r="AB281" i="2" s="1"/>
  <c r="AA296" i="2"/>
  <c r="AB296" i="2" s="1"/>
  <c r="AA311" i="2"/>
  <c r="AB311" i="2" s="1"/>
  <c r="AA319" i="2"/>
  <c r="AB319" i="2" s="1"/>
  <c r="AA430" i="2"/>
  <c r="AB430" i="2" s="1"/>
  <c r="AA487" i="2"/>
  <c r="AB487" i="2" s="1"/>
  <c r="AA524" i="2"/>
  <c r="AB524" i="2" s="1"/>
  <c r="AA583" i="2"/>
  <c r="AB583" i="2" s="1"/>
  <c r="AA628" i="2"/>
  <c r="AB628" i="2" s="1"/>
  <c r="AA644" i="2"/>
  <c r="AB644" i="2" s="1"/>
  <c r="AA652" i="2"/>
  <c r="AB652" i="2" s="1"/>
  <c r="AA688" i="2"/>
  <c r="AB688" i="2" s="1"/>
  <c r="AA696" i="2"/>
  <c r="AB696" i="2" s="1"/>
  <c r="AA840" i="2"/>
  <c r="AB840" i="2" s="1"/>
  <c r="AA899" i="2"/>
  <c r="AB899" i="2" s="1"/>
  <c r="AA959" i="2"/>
  <c r="AB959" i="2" s="1"/>
  <c r="AA974" i="2"/>
  <c r="AB974" i="2" s="1"/>
  <c r="AA1019" i="2"/>
  <c r="AB1019" i="2" s="1"/>
  <c r="AA1100" i="2"/>
  <c r="AB1100" i="2" s="1"/>
  <c r="AA1114" i="2"/>
  <c r="AB1114" i="2" s="1"/>
  <c r="AA15" i="2"/>
  <c r="AB15" i="2" s="1"/>
  <c r="AA23" i="2"/>
  <c r="AB23" i="2" s="1"/>
  <c r="AA38" i="2"/>
  <c r="AB38" i="2" s="1"/>
  <c r="AA90" i="2"/>
  <c r="AB90" i="2" s="1"/>
  <c r="AA98" i="2"/>
  <c r="AB98" i="2" s="1"/>
  <c r="AA135" i="2"/>
  <c r="AB135" i="2" s="1"/>
  <c r="AA297" i="2"/>
  <c r="AB297" i="2" s="1"/>
  <c r="AA304" i="2"/>
  <c r="AB304" i="2" s="1"/>
  <c r="AA312" i="2"/>
  <c r="AB312" i="2" s="1"/>
  <c r="AA451" i="2"/>
  <c r="AB451" i="2" s="1"/>
  <c r="AA466" i="2"/>
  <c r="AB466" i="2" s="1"/>
  <c r="AA689" i="2"/>
  <c r="AB689" i="2" s="1"/>
  <c r="AA105" i="2"/>
  <c r="AB105" i="2" s="1"/>
  <c r="AA112" i="2"/>
  <c r="AB112" i="2" s="1"/>
  <c r="AA151" i="2"/>
  <c r="AB151" i="2" s="1"/>
  <c r="AA159" i="2"/>
  <c r="AB159" i="2" s="1"/>
  <c r="AA175" i="2"/>
  <c r="AB175" i="2" s="1"/>
  <c r="AA182" i="2"/>
  <c r="AB182" i="2" s="1"/>
  <c r="AA267" i="2"/>
  <c r="AB267" i="2" s="1"/>
  <c r="AA393" i="2"/>
  <c r="AB393" i="2" s="1"/>
  <c r="AA401" i="2"/>
  <c r="AB401" i="2" s="1"/>
  <c r="AA496" i="2"/>
  <c r="AB496" i="2" s="1"/>
  <c r="AA548" i="2"/>
  <c r="AB548" i="2" s="1"/>
  <c r="AA563" i="2"/>
  <c r="AB563" i="2" s="1"/>
  <c r="AA705" i="2"/>
  <c r="AB705" i="2" s="1"/>
  <c r="AA759" i="2"/>
  <c r="AB759" i="2" s="1"/>
  <c r="AA819" i="2"/>
  <c r="AB819" i="2" s="1"/>
  <c r="AA872" i="2"/>
  <c r="AB872" i="2" s="1"/>
  <c r="AA923" i="2"/>
  <c r="AB923" i="2" s="1"/>
  <c r="AA931" i="2"/>
  <c r="AB931" i="2" s="1"/>
  <c r="AA991" i="2"/>
  <c r="AB991" i="2" s="1"/>
  <c r="AA999" i="2"/>
  <c r="AB999" i="2" s="1"/>
  <c r="AA1036" i="2"/>
  <c r="AB1036" i="2" s="1"/>
  <c r="AA1115" i="2"/>
  <c r="AB1115" i="2" s="1"/>
  <c r="AA32" i="2"/>
  <c r="AB32" i="2" s="1"/>
  <c r="AA106" i="2"/>
  <c r="AB106" i="2" s="1"/>
  <c r="AA113" i="2"/>
  <c r="AB113" i="2" s="1"/>
  <c r="AA121" i="2"/>
  <c r="AB121" i="2" s="1"/>
  <c r="AA144" i="2"/>
  <c r="AB144" i="2" s="1"/>
  <c r="AA160" i="2"/>
  <c r="AB160" i="2" s="1"/>
  <c r="AA183" i="2"/>
  <c r="AB183" i="2" s="1"/>
  <c r="AA268" i="2"/>
  <c r="AB268" i="2" s="1"/>
  <c r="AA291" i="2"/>
  <c r="AB291" i="2" s="1"/>
  <c r="AA351" i="2"/>
  <c r="AB351" i="2" s="1"/>
  <c r="AA386" i="2"/>
  <c r="AB386" i="2" s="1"/>
  <c r="AA438" i="2"/>
  <c r="AB438" i="2" s="1"/>
  <c r="AA497" i="2"/>
  <c r="AB497" i="2" s="1"/>
  <c r="AA518" i="2"/>
  <c r="AB518" i="2" s="1"/>
  <c r="AA549" i="2"/>
  <c r="AB549" i="2" s="1"/>
  <c r="AA564" i="2"/>
  <c r="AB564" i="2" s="1"/>
  <c r="AA706" i="2"/>
  <c r="AB706" i="2" s="1"/>
  <c r="AA714" i="2"/>
  <c r="AB714" i="2" s="1"/>
  <c r="AA760" i="2"/>
  <c r="AB760" i="2" s="1"/>
  <c r="AA865" i="2"/>
  <c r="AB865" i="2" s="1"/>
  <c r="AA873" i="2"/>
  <c r="AB873" i="2" s="1"/>
  <c r="AA879" i="2"/>
  <c r="AB879" i="2" s="1"/>
  <c r="AA954" i="2"/>
  <c r="AB954" i="2" s="1"/>
  <c r="AA968" i="2"/>
  <c r="AB968" i="2" s="1"/>
  <c r="AA1037" i="2"/>
  <c r="AB1037" i="2" s="1"/>
  <c r="AA1050" i="2"/>
  <c r="AB1050" i="2" s="1"/>
  <c r="AA1057" i="2"/>
  <c r="AB1057" i="2" s="1"/>
  <c r="AA33" i="2"/>
  <c r="AB33" i="2" s="1"/>
  <c r="AA145" i="2"/>
  <c r="AB145" i="2" s="1"/>
  <c r="AA153" i="2"/>
  <c r="AB153" i="2" s="1"/>
  <c r="AA184" i="2"/>
  <c r="AB184" i="2" s="1"/>
  <c r="AA253" i="2"/>
  <c r="AB253" i="2" s="1"/>
  <c r="AA269" i="2"/>
  <c r="AB269" i="2" s="1"/>
  <c r="AA292" i="2"/>
  <c r="AB292" i="2" s="1"/>
  <c r="AA380" i="2"/>
  <c r="AB380" i="2" s="1"/>
  <c r="AA418" i="2"/>
  <c r="AB418" i="2" s="1"/>
  <c r="AA461" i="2"/>
  <c r="AB461" i="2" s="1"/>
  <c r="AA476" i="2"/>
  <c r="AB476" i="2" s="1"/>
  <c r="AA498" i="2"/>
  <c r="AB498" i="2" s="1"/>
  <c r="AA505" i="2"/>
  <c r="AB505" i="2" s="1"/>
  <c r="AA565" i="2"/>
  <c r="AB565" i="2" s="1"/>
  <c r="AA609" i="2"/>
  <c r="AB609" i="2" s="1"/>
  <c r="AA738" i="2"/>
  <c r="AB738" i="2" s="1"/>
  <c r="AA798" i="2"/>
  <c r="AB798" i="2" s="1"/>
  <c r="AA813" i="2"/>
  <c r="AB813" i="2" s="1"/>
  <c r="AA858" i="2"/>
  <c r="AB858" i="2" s="1"/>
  <c r="AA874" i="2"/>
  <c r="AB874" i="2" s="1"/>
  <c r="AA925" i="2"/>
  <c r="AB925" i="2" s="1"/>
  <c r="AA933" i="2"/>
  <c r="AB933" i="2" s="1"/>
  <c r="AA947" i="2"/>
  <c r="AB947" i="2" s="1"/>
  <c r="AA56" i="2"/>
  <c r="AB56" i="2" s="1"/>
  <c r="AA93" i="2"/>
  <c r="AB93" i="2" s="1"/>
  <c r="AA130" i="2"/>
  <c r="AB130" i="2" s="1"/>
  <c r="AA138" i="2"/>
  <c r="AB138" i="2" s="1"/>
  <c r="AA207" i="2"/>
  <c r="AB207" i="2" s="1"/>
  <c r="AA215" i="2"/>
  <c r="AB215" i="2" s="1"/>
  <c r="AA223" i="2"/>
  <c r="AB223" i="2" s="1"/>
  <c r="AA238" i="2"/>
  <c r="AB238" i="2" s="1"/>
  <c r="AA285" i="2"/>
  <c r="AB285" i="2" s="1"/>
  <c r="AA323" i="2"/>
  <c r="AB323" i="2" s="1"/>
  <c r="AA388" i="2"/>
  <c r="AB388" i="2" s="1"/>
  <c r="AA403" i="2"/>
  <c r="AB403" i="2" s="1"/>
  <c r="AA469" i="2"/>
  <c r="AB469" i="2" s="1"/>
  <c r="AA483" i="2"/>
  <c r="AB483" i="2" s="1"/>
  <c r="AA491" i="2"/>
  <c r="AB491" i="2" s="1"/>
  <c r="AA520" i="2"/>
  <c r="AB520" i="2" s="1"/>
  <c r="AA558" i="2"/>
  <c r="AB558" i="2" s="1"/>
  <c r="AA573" i="2"/>
  <c r="AB573" i="2" s="1"/>
  <c r="AA580" i="2"/>
  <c r="AB580" i="2" s="1"/>
  <c r="AA617" i="2"/>
  <c r="AB617" i="2" s="1"/>
  <c r="AA836" i="2"/>
  <c r="AB836" i="2" s="1"/>
  <c r="AA903" i="2"/>
  <c r="AB903" i="2" s="1"/>
  <c r="AA941" i="2"/>
  <c r="AB941" i="2" s="1"/>
  <c r="AA1023" i="2"/>
  <c r="AB1023" i="2" s="1"/>
  <c r="AA1073" i="2"/>
  <c r="AB1073" i="2" s="1"/>
  <c r="AA1118" i="2"/>
  <c r="AB1118" i="2" s="1"/>
  <c r="AA11" i="2"/>
  <c r="AB11" i="2" s="1"/>
  <c r="AA19" i="2"/>
  <c r="AB19" i="2" s="1"/>
  <c r="AA57" i="2"/>
  <c r="AB57" i="2" s="1"/>
  <c r="AA79" i="2"/>
  <c r="AB79" i="2" s="1"/>
  <c r="AA131" i="2"/>
  <c r="AB131" i="2" s="1"/>
  <c r="AA239" i="2"/>
  <c r="AB239" i="2" s="1"/>
  <c r="AA247" i="2"/>
  <c r="AB247" i="2" s="1"/>
  <c r="AA308" i="2"/>
  <c r="AB308" i="2" s="1"/>
  <c r="AA316" i="2"/>
  <c r="AB316" i="2" s="1"/>
  <c r="AA324" i="2"/>
  <c r="AB324" i="2" s="1"/>
  <c r="AA332" i="2"/>
  <c r="AB332" i="2" s="1"/>
  <c r="AA389" i="2"/>
  <c r="AB389" i="2" s="1"/>
  <c r="AA412" i="2"/>
  <c r="AB412" i="2" s="1"/>
  <c r="AA484" i="2"/>
  <c r="AB484" i="2" s="1"/>
  <c r="AA521" i="2"/>
  <c r="AB521" i="2" s="1"/>
  <c r="AA559" i="2"/>
  <c r="AB559" i="2" s="1"/>
  <c r="AA633" i="2"/>
  <c r="AB633" i="2" s="1"/>
  <c r="AA641" i="2"/>
  <c r="AB641" i="2" s="1"/>
  <c r="AA663" i="2"/>
  <c r="AB663" i="2" s="1"/>
  <c r="AA693" i="2"/>
  <c r="AB693" i="2" s="1"/>
  <c r="AA882" i="2"/>
  <c r="AB882" i="2" s="1"/>
  <c r="AA904" i="2"/>
  <c r="AB904" i="2" s="1"/>
  <c r="AA971" i="2"/>
  <c r="AB971" i="2" s="1"/>
  <c r="AA987" i="2"/>
  <c r="AB987" i="2" s="1"/>
  <c r="AA1119" i="2"/>
  <c r="AB1119" i="2" s="1"/>
  <c r="AA172" i="2"/>
  <c r="AB172" i="2" s="1"/>
  <c r="AA216" i="2"/>
  <c r="AB216" i="2" s="1"/>
  <c r="AA224" i="2"/>
  <c r="AB224" i="2" s="1"/>
  <c r="AA680" i="2"/>
  <c r="AB680" i="2" s="1"/>
  <c r="AA867" i="2"/>
  <c r="AB867" i="2" s="1"/>
  <c r="AA1074" i="2"/>
  <c r="AB1074" i="2" s="1"/>
  <c r="AA1082" i="2"/>
  <c r="AB1082" i="2" s="1"/>
  <c r="AA1089" i="2"/>
  <c r="AB1089" i="2" s="1"/>
  <c r="AA1110" i="2"/>
  <c r="AB1110" i="2" s="1"/>
  <c r="AA35" i="2"/>
  <c r="AB35" i="2" s="1"/>
  <c r="AA42" i="2"/>
  <c r="AB42" i="2" s="1"/>
  <c r="AA50" i="2"/>
  <c r="AB50" i="2" s="1"/>
  <c r="AA64" i="2"/>
  <c r="AB64" i="2" s="1"/>
  <c r="AA91" i="2"/>
  <c r="AB91" i="2" s="1"/>
  <c r="AA99" i="2"/>
  <c r="AB99" i="2" s="1"/>
  <c r="AA120" i="2"/>
  <c r="AB120" i="2" s="1"/>
  <c r="AA143" i="2"/>
  <c r="AB143" i="2" s="1"/>
  <c r="AA158" i="2"/>
  <c r="AB158" i="2" s="1"/>
  <c r="AA165" i="2"/>
  <c r="AB165" i="2" s="1"/>
  <c r="AA173" i="2"/>
  <c r="AB173" i="2" s="1"/>
  <c r="AA209" i="2"/>
  <c r="AB209" i="2" s="1"/>
  <c r="AA217" i="2"/>
  <c r="AB217" i="2" s="1"/>
  <c r="AA240" i="2"/>
  <c r="AB240" i="2" s="1"/>
  <c r="AA284" i="2"/>
  <c r="AB284" i="2" s="1"/>
  <c r="AA327" i="2"/>
  <c r="AB327" i="2" s="1"/>
  <c r="AA375" i="2"/>
  <c r="AB375" i="2" s="1"/>
  <c r="AA404" i="2"/>
  <c r="AB404" i="2" s="1"/>
  <c r="AA424" i="2"/>
  <c r="AB424" i="2" s="1"/>
  <c r="AA432" i="2"/>
  <c r="AB432" i="2" s="1"/>
  <c r="AA508" i="2"/>
  <c r="AB508" i="2" s="1"/>
  <c r="AA528" i="2"/>
  <c r="AB528" i="2" s="1"/>
  <c r="AA610" i="2"/>
  <c r="AB610" i="2" s="1"/>
  <c r="AA653" i="2"/>
  <c r="AB653" i="2" s="1"/>
  <c r="AA768" i="2"/>
  <c r="AB768" i="2" s="1"/>
  <c r="AA854" i="2"/>
  <c r="AB854" i="2" s="1"/>
  <c r="AA875" i="2"/>
  <c r="AB875" i="2" s="1"/>
  <c r="AA881" i="2"/>
  <c r="AB881" i="2" s="1"/>
  <c r="AA889" i="2"/>
  <c r="AB889" i="2" s="1"/>
  <c r="AA902" i="2"/>
  <c r="AB902" i="2" s="1"/>
  <c r="AA990" i="2"/>
  <c r="AB990" i="2" s="1"/>
  <c r="AA1005" i="2"/>
  <c r="AB1005" i="2" s="1"/>
  <c r="AA1067" i="2"/>
  <c r="AB1067" i="2" s="1"/>
  <c r="AA1097" i="2"/>
  <c r="AB1097" i="2" s="1"/>
  <c r="AA71" i="2"/>
  <c r="AB71" i="2" s="1"/>
  <c r="AA299" i="2"/>
  <c r="AB299" i="2" s="1"/>
  <c r="AA349" i="2"/>
  <c r="AB349" i="2" s="1"/>
  <c r="AA355" i="2"/>
  <c r="AB355" i="2" s="1"/>
  <c r="AA494" i="2"/>
  <c r="AB494" i="2" s="1"/>
  <c r="AA576" i="2"/>
  <c r="AB576" i="2" s="1"/>
  <c r="AA596" i="2"/>
  <c r="AB596" i="2" s="1"/>
  <c r="AA673" i="2"/>
  <c r="AB673" i="2" s="1"/>
  <c r="AA776" i="2"/>
  <c r="AB776" i="2" s="1"/>
  <c r="AA842" i="2"/>
  <c r="AB842" i="2" s="1"/>
  <c r="AA847" i="2"/>
  <c r="AB847" i="2" s="1"/>
  <c r="AA895" i="2"/>
  <c r="AB895" i="2" s="1"/>
  <c r="AA940" i="2"/>
  <c r="AB940" i="2" s="1"/>
  <c r="AA128" i="2"/>
  <c r="AB128" i="2" s="1"/>
  <c r="AA21" i="2"/>
  <c r="AB21" i="2" s="1"/>
  <c r="AA137" i="2"/>
  <c r="AB137" i="2" s="1"/>
  <c r="AA152" i="2"/>
  <c r="AB152" i="2" s="1"/>
  <c r="AA218" i="2"/>
  <c r="AB218" i="2" s="1"/>
  <c r="AA234" i="2"/>
  <c r="AB234" i="2" s="1"/>
  <c r="AA249" i="2"/>
  <c r="AB249" i="2" s="1"/>
  <c r="AA271" i="2"/>
  <c r="AB271" i="2" s="1"/>
  <c r="AA278" i="2"/>
  <c r="AB278" i="2" s="1"/>
  <c r="AA293" i="2"/>
  <c r="AB293" i="2" s="1"/>
  <c r="AA300" i="2"/>
  <c r="AB300" i="2" s="1"/>
  <c r="AA307" i="2"/>
  <c r="AB307" i="2" s="1"/>
  <c r="AA336" i="2"/>
  <c r="AB336" i="2" s="1"/>
  <c r="AA370" i="2"/>
  <c r="AB370" i="2" s="1"/>
  <c r="AA453" i="2"/>
  <c r="AB453" i="2" s="1"/>
  <c r="AA468" i="2"/>
  <c r="AB468" i="2" s="1"/>
  <c r="AA495" i="2"/>
  <c r="AB495" i="2" s="1"/>
  <c r="AA543" i="2"/>
  <c r="AB543" i="2" s="1"/>
  <c r="AA577" i="2"/>
  <c r="AB577" i="2" s="1"/>
  <c r="AA597" i="2"/>
  <c r="AB597" i="2" s="1"/>
  <c r="AA605" i="2"/>
  <c r="AB605" i="2" s="1"/>
  <c r="AA618" i="2"/>
  <c r="AB618" i="2" s="1"/>
  <c r="AA640" i="2"/>
  <c r="AB640" i="2" s="1"/>
  <c r="AA646" i="2"/>
  <c r="AB646" i="2" s="1"/>
  <c r="AA667" i="2"/>
  <c r="AB667" i="2" s="1"/>
  <c r="AA674" i="2"/>
  <c r="AB674" i="2" s="1"/>
  <c r="AA725" i="2"/>
  <c r="AB725" i="2" s="1"/>
  <c r="AA747" i="2"/>
  <c r="AB747" i="2" s="1"/>
  <c r="AA777" i="2"/>
  <c r="AB777" i="2" s="1"/>
  <c r="AA792" i="2"/>
  <c r="AB792" i="2" s="1"/>
  <c r="AA799" i="2"/>
  <c r="AB799" i="2" s="1"/>
  <c r="AA807" i="2"/>
  <c r="AB807" i="2" s="1"/>
  <c r="AA829" i="2"/>
  <c r="AB829" i="2" s="1"/>
  <c r="AA896" i="2"/>
  <c r="AB896" i="2" s="1"/>
  <c r="AA918" i="2"/>
  <c r="AB918" i="2" s="1"/>
  <c r="AA976" i="2"/>
  <c r="AB976" i="2" s="1"/>
  <c r="AA984" i="2"/>
  <c r="AB984" i="2" s="1"/>
  <c r="AA107" i="2"/>
  <c r="AB107" i="2" s="1"/>
  <c r="AA122" i="2"/>
  <c r="AB122" i="2" s="1"/>
  <c r="AA203" i="2"/>
  <c r="AB203" i="2" s="1"/>
  <c r="AA356" i="2"/>
  <c r="AB356" i="2" s="1"/>
  <c r="AA446" i="2"/>
  <c r="AB446" i="2" s="1"/>
  <c r="AA502" i="2"/>
  <c r="AB502" i="2" s="1"/>
  <c r="AA660" i="2"/>
  <c r="AB660" i="2" s="1"/>
  <c r="AA682" i="2"/>
  <c r="AB682" i="2" s="1"/>
  <c r="AA718" i="2"/>
  <c r="AB718" i="2" s="1"/>
  <c r="AA911" i="2"/>
  <c r="AB911" i="2" s="1"/>
  <c r="AA961" i="2"/>
  <c r="AB961" i="2" s="1"/>
  <c r="AA86" i="2"/>
  <c r="AB86" i="2" s="1"/>
  <c r="AA30" i="2"/>
  <c r="AB30" i="2" s="1"/>
  <c r="AA67" i="2"/>
  <c r="AB67" i="2" s="1"/>
  <c r="AA87" i="2"/>
  <c r="AB87" i="2" s="1"/>
  <c r="AA94" i="2"/>
  <c r="AB94" i="2" s="1"/>
  <c r="AA123" i="2"/>
  <c r="AB123" i="2" s="1"/>
  <c r="AA168" i="2"/>
  <c r="AB168" i="2" s="1"/>
  <c r="AA197" i="2"/>
  <c r="AB197" i="2" s="1"/>
  <c r="AA204" i="2"/>
  <c r="AB204" i="2" s="1"/>
  <c r="AA287" i="2"/>
  <c r="AB287" i="2" s="1"/>
  <c r="AA330" i="2"/>
  <c r="AB330" i="2" s="1"/>
  <c r="AA337" i="2"/>
  <c r="AB337" i="2" s="1"/>
  <c r="AA344" i="2"/>
  <c r="AB344" i="2" s="1"/>
  <c r="AA357" i="2"/>
  <c r="AB357" i="2" s="1"/>
  <c r="AA364" i="2"/>
  <c r="AB364" i="2" s="1"/>
  <c r="AA378" i="2"/>
  <c r="AB378" i="2" s="1"/>
  <c r="AA462" i="2"/>
  <c r="AB462" i="2" s="1"/>
  <c r="AA530" i="2"/>
  <c r="AB530" i="2" s="1"/>
  <c r="AA648" i="2"/>
  <c r="AB648" i="2" s="1"/>
  <c r="AA661" i="2"/>
  <c r="AB661" i="2" s="1"/>
  <c r="AA690" i="2"/>
  <c r="AB690" i="2" s="1"/>
  <c r="AA719" i="2"/>
  <c r="AB719" i="2" s="1"/>
  <c r="AA815" i="2"/>
  <c r="AB815" i="2" s="1"/>
  <c r="AA823" i="2"/>
  <c r="AB823" i="2" s="1"/>
  <c r="AA891" i="2"/>
  <c r="AB891" i="2" s="1"/>
  <c r="AA927" i="2"/>
  <c r="AB927" i="2" s="1"/>
  <c r="AA935" i="2"/>
  <c r="AB935" i="2" s="1"/>
  <c r="AA1069" i="2"/>
  <c r="AB1069" i="2" s="1"/>
  <c r="AA1105" i="2"/>
  <c r="AB1105" i="2" s="1"/>
  <c r="AA8" i="2"/>
  <c r="AB8" i="2" s="1"/>
  <c r="AA31" i="2"/>
  <c r="AB31" i="2" s="1"/>
  <c r="AA46" i="2"/>
  <c r="AB46" i="2" s="1"/>
  <c r="AA88" i="2"/>
  <c r="AB88" i="2" s="1"/>
  <c r="AA95" i="2"/>
  <c r="AB95" i="2" s="1"/>
  <c r="AA124" i="2"/>
  <c r="AB124" i="2" s="1"/>
  <c r="AA169" i="2"/>
  <c r="AB169" i="2" s="1"/>
  <c r="AA177" i="2"/>
  <c r="AB177" i="2" s="1"/>
  <c r="AA205" i="2"/>
  <c r="AB205" i="2" s="1"/>
  <c r="AA221" i="2"/>
  <c r="AB221" i="2" s="1"/>
  <c r="AA229" i="2"/>
  <c r="AB229" i="2" s="1"/>
  <c r="AA236" i="2"/>
  <c r="AB236" i="2" s="1"/>
  <c r="AA273" i="2"/>
  <c r="AB273" i="2" s="1"/>
  <c r="AA331" i="2"/>
  <c r="AB331" i="2" s="1"/>
  <c r="AA345" i="2"/>
  <c r="AB345" i="2" s="1"/>
  <c r="AA358" i="2"/>
  <c r="AB358" i="2" s="1"/>
  <c r="AA441" i="2"/>
  <c r="AB441" i="2" s="1"/>
  <c r="AA448" i="2"/>
  <c r="AB448" i="2" s="1"/>
  <c r="AA504" i="2"/>
  <c r="AB504" i="2" s="1"/>
  <c r="AA531" i="2"/>
  <c r="AB531" i="2" s="1"/>
  <c r="AA545" i="2"/>
  <c r="AB545" i="2" s="1"/>
  <c r="AA649" i="2"/>
  <c r="AB649" i="2" s="1"/>
  <c r="AA669" i="2"/>
  <c r="AB669" i="2" s="1"/>
  <c r="AA691" i="2"/>
  <c r="AB691" i="2" s="1"/>
  <c r="AA772" i="2"/>
  <c r="AB772" i="2" s="1"/>
  <c r="AA816" i="2"/>
  <c r="AB816" i="2" s="1"/>
  <c r="AA824" i="2"/>
  <c r="AB824" i="2" s="1"/>
  <c r="AA838" i="2"/>
  <c r="AB838" i="2" s="1"/>
  <c r="AA878" i="2"/>
  <c r="AB878" i="2" s="1"/>
  <c r="AA885" i="2"/>
  <c r="AB885" i="2" s="1"/>
  <c r="AA928" i="2"/>
  <c r="AB928" i="2" s="1"/>
  <c r="AA936" i="2"/>
  <c r="AB936" i="2" s="1"/>
  <c r="AA1064" i="2"/>
  <c r="AB1064" i="2" s="1"/>
  <c r="AA600" i="2"/>
  <c r="AB600" i="2" s="1"/>
  <c r="AA613" i="2"/>
  <c r="AB613" i="2" s="1"/>
  <c r="AA728" i="2"/>
  <c r="AB728" i="2" s="1"/>
  <c r="AA750" i="2"/>
  <c r="AB750" i="2" s="1"/>
  <c r="AA765" i="2"/>
  <c r="AB765" i="2" s="1"/>
  <c r="AA802" i="2"/>
  <c r="AB802" i="2" s="1"/>
  <c r="AA198" i="2"/>
  <c r="AB198" i="2" s="1"/>
  <c r="AA288" i="2"/>
  <c r="AB288" i="2" s="1"/>
  <c r="AA684" i="2"/>
  <c r="AB684" i="2" s="1"/>
  <c r="AA831" i="2"/>
  <c r="AB831" i="2" s="1"/>
  <c r="AA913" i="2"/>
  <c r="AB913" i="2" s="1"/>
  <c r="AA1009" i="2"/>
  <c r="AB1009" i="2" s="1"/>
  <c r="AA68" i="2"/>
  <c r="AB68" i="2" s="1"/>
  <c r="AA338" i="2"/>
  <c r="AB338" i="2" s="1"/>
  <c r="AA365" i="2"/>
  <c r="AB365" i="2" s="1"/>
  <c r="AA2" i="2"/>
  <c r="AB2" i="2" s="1"/>
  <c r="AA17" i="2"/>
  <c r="AB17" i="2" s="1"/>
  <c r="AA25" i="2"/>
  <c r="AB25" i="2" s="1"/>
  <c r="AA40" i="2"/>
  <c r="AB40" i="2" s="1"/>
  <c r="AA148" i="2"/>
  <c r="AB148" i="2" s="1"/>
  <c r="AA185" i="2"/>
  <c r="AB185" i="2" s="1"/>
  <c r="AA245" i="2"/>
  <c r="AB245" i="2" s="1"/>
  <c r="AA260" i="2"/>
  <c r="AB260" i="2" s="1"/>
  <c r="AA282" i="2"/>
  <c r="AB282" i="2" s="1"/>
  <c r="AA289" i="2"/>
  <c r="AB289" i="2" s="1"/>
  <c r="AA303" i="2"/>
  <c r="AB303" i="2" s="1"/>
  <c r="AA317" i="2"/>
  <c r="AB317" i="2" s="1"/>
  <c r="AA409" i="2"/>
  <c r="AB409" i="2" s="1"/>
  <c r="AA567" i="2"/>
  <c r="AB567" i="2" s="1"/>
  <c r="AA587" i="2"/>
  <c r="AB587" i="2" s="1"/>
  <c r="AA601" i="2"/>
  <c r="AB601" i="2" s="1"/>
  <c r="AA614" i="2"/>
  <c r="AB614" i="2" s="1"/>
  <c r="AA622" i="2"/>
  <c r="AB622" i="2" s="1"/>
  <c r="AA685" i="2"/>
  <c r="AB685" i="2" s="1"/>
  <c r="AA700" i="2"/>
  <c r="AB700" i="2" s="1"/>
  <c r="AA736" i="2"/>
  <c r="AB736" i="2" s="1"/>
  <c r="AA795" i="2"/>
  <c r="AB795" i="2" s="1"/>
  <c r="AA832" i="2"/>
  <c r="AB832" i="2" s="1"/>
  <c r="AA859" i="2"/>
  <c r="AB859" i="2" s="1"/>
  <c r="AA907" i="2"/>
  <c r="AB907" i="2" s="1"/>
  <c r="AA972" i="2"/>
  <c r="AB972" i="2" s="1"/>
  <c r="AA1024" i="2"/>
  <c r="AB1024" i="2" s="1"/>
  <c r="AA1032" i="2"/>
  <c r="AB1032" i="2" s="1"/>
  <c r="AA18" i="2"/>
  <c r="AB18" i="2" s="1"/>
  <c r="AA26" i="2"/>
  <c r="AB26" i="2" s="1"/>
  <c r="AA41" i="2"/>
  <c r="AB41" i="2" s="1"/>
  <c r="AA75" i="2"/>
  <c r="AB75" i="2" s="1"/>
  <c r="AA134" i="2"/>
  <c r="AB134" i="2" s="1"/>
  <c r="AA149" i="2"/>
  <c r="AB149" i="2" s="1"/>
  <c r="AA179" i="2"/>
  <c r="AB179" i="2" s="1"/>
  <c r="AA200" i="2"/>
  <c r="AB200" i="2" s="1"/>
  <c r="AA231" i="2"/>
  <c r="AB231" i="2" s="1"/>
  <c r="AA246" i="2"/>
  <c r="AB246" i="2" s="1"/>
  <c r="AA290" i="2"/>
  <c r="AB290" i="2" s="1"/>
  <c r="AA339" i="2"/>
  <c r="AB339" i="2" s="1"/>
  <c r="AA373" i="2"/>
  <c r="AB373" i="2" s="1"/>
  <c r="AA402" i="2"/>
  <c r="AB402" i="2" s="1"/>
  <c r="AA416" i="2"/>
  <c r="AB416" i="2" s="1"/>
  <c r="AA437" i="2"/>
  <c r="AB437" i="2" s="1"/>
  <c r="AA479" i="2"/>
  <c r="AB479" i="2" s="1"/>
  <c r="AA513" i="2"/>
  <c r="AB513" i="2" s="1"/>
  <c r="AA561" i="2"/>
  <c r="AB561" i="2" s="1"/>
  <c r="AA574" i="2"/>
  <c r="AB574" i="2" s="1"/>
  <c r="AA588" i="2"/>
  <c r="AB588" i="2" s="1"/>
  <c r="AA615" i="2"/>
  <c r="AB615" i="2" s="1"/>
  <c r="AA637" i="2"/>
  <c r="AB637" i="2" s="1"/>
  <c r="AA701" i="2"/>
  <c r="AB701" i="2" s="1"/>
  <c r="AA730" i="2"/>
  <c r="AB730" i="2" s="1"/>
  <c r="AA745" i="2"/>
  <c r="AB745" i="2" s="1"/>
  <c r="AA781" i="2"/>
  <c r="AB781" i="2" s="1"/>
  <c r="AA789" i="2"/>
  <c r="AB789" i="2" s="1"/>
  <c r="AA804" i="2"/>
  <c r="AB804" i="2" s="1"/>
  <c r="AA860" i="2"/>
  <c r="AB860" i="2" s="1"/>
  <c r="AA908" i="2"/>
  <c r="AB908" i="2" s="1"/>
  <c r="AA973" i="2"/>
  <c r="AB973" i="2" s="1"/>
  <c r="AA1025" i="2"/>
  <c r="AB1025" i="2" s="1"/>
  <c r="AA924" i="2"/>
  <c r="AB924" i="2" s="1"/>
  <c r="AA1028" i="2"/>
  <c r="AB1028" i="2" s="1"/>
  <c r="AA1096" i="2"/>
  <c r="AB1096" i="2" s="1"/>
  <c r="AA997" i="2"/>
  <c r="AB997" i="2" s="1"/>
  <c r="AA1011" i="2"/>
  <c r="AB1011" i="2" s="1"/>
  <c r="AA929" i="2"/>
  <c r="AB929" i="2" s="1"/>
  <c r="AA977" i="2"/>
  <c r="AB977" i="2" s="1"/>
  <c r="AA992" i="2"/>
  <c r="AB992" i="2" s="1"/>
  <c r="AA1000" i="2"/>
  <c r="AB1000" i="2" s="1"/>
  <c r="AA1046" i="2"/>
  <c r="AB1046" i="2" s="1"/>
  <c r="AA1071" i="2"/>
  <c r="AB1071" i="2" s="1"/>
  <c r="AA1086" i="2"/>
  <c r="AB1086" i="2" s="1"/>
  <c r="AA1107" i="2"/>
  <c r="AB1107" i="2" s="1"/>
  <c r="AA930" i="2"/>
  <c r="AB930" i="2" s="1"/>
  <c r="AA938" i="2"/>
  <c r="AB938" i="2" s="1"/>
  <c r="AA957" i="2"/>
  <c r="AB957" i="2" s="1"/>
  <c r="AA970" i="2"/>
  <c r="AB970" i="2" s="1"/>
  <c r="AA978" i="2"/>
  <c r="AB978" i="2" s="1"/>
  <c r="AA986" i="2"/>
  <c r="AB986" i="2" s="1"/>
  <c r="AA993" i="2"/>
  <c r="AB993" i="2" s="1"/>
  <c r="AA1039" i="2"/>
  <c r="AB1039" i="2" s="1"/>
  <c r="AA1052" i="2"/>
  <c r="AB1052" i="2" s="1"/>
  <c r="AA1072" i="2"/>
  <c r="AB1072" i="2" s="1"/>
  <c r="AA1080" i="2"/>
  <c r="AB1080" i="2" s="1"/>
  <c r="AA1087" i="2"/>
  <c r="AB1087" i="2" s="1"/>
  <c r="AA1108" i="2"/>
  <c r="AB1108" i="2" s="1"/>
  <c r="AA12" i="2"/>
  <c r="AB12" i="2" s="1"/>
  <c r="AA70" i="2"/>
  <c r="AB70" i="2" s="1"/>
  <c r="AA76" i="2"/>
  <c r="AB76" i="2" s="1"/>
  <c r="AA83" i="2"/>
  <c r="AB83" i="2" s="1"/>
  <c r="AA111" i="2"/>
  <c r="AB111" i="2" s="1"/>
  <c r="AA129" i="2"/>
  <c r="AB129" i="2" s="1"/>
  <c r="AA141" i="2"/>
  <c r="AB141" i="2" s="1"/>
  <c r="AA171" i="2"/>
  <c r="AB171" i="2" s="1"/>
  <c r="AA202" i="2"/>
  <c r="AB202" i="2" s="1"/>
  <c r="AA369" i="2"/>
  <c r="AB369" i="2" s="1"/>
  <c r="AA374" i="2"/>
  <c r="AB374" i="2" s="1"/>
  <c r="AA445" i="2"/>
  <c r="AB445" i="2" s="1"/>
  <c r="AA762" i="2"/>
  <c r="AB762" i="2" s="1"/>
  <c r="AA826" i="2"/>
  <c r="AB826" i="2" s="1"/>
  <c r="AA856" i="2"/>
  <c r="AB856" i="2" s="1"/>
  <c r="AA985" i="2"/>
  <c r="AB985" i="2" s="1"/>
  <c r="AA1031" i="2"/>
  <c r="AB1031" i="2" s="1"/>
  <c r="AA1048" i="2"/>
  <c r="AB1048" i="2" s="1"/>
  <c r="AA1088" i="2"/>
  <c r="AB1088" i="2" s="1"/>
  <c r="AA259" i="2"/>
  <c r="AB259" i="2" s="1"/>
  <c r="AA335" i="2"/>
  <c r="AB335" i="2" s="1"/>
  <c r="AA347" i="2"/>
  <c r="AB347" i="2" s="1"/>
  <c r="AA408" i="2"/>
  <c r="AB408" i="2" s="1"/>
  <c r="AA488" i="2"/>
  <c r="AB488" i="2" s="1"/>
  <c r="AA616" i="2"/>
  <c r="AB616" i="2" s="1"/>
  <c r="AA666" i="2"/>
  <c r="AB666" i="2" s="1"/>
  <c r="AA722" i="2"/>
  <c r="AB722" i="2" s="1"/>
  <c r="AA729" i="2"/>
  <c r="AB729" i="2" s="1"/>
  <c r="AA735" i="2"/>
  <c r="AB735" i="2" s="1"/>
  <c r="AA756" i="2"/>
  <c r="AB756" i="2" s="1"/>
  <c r="AA763" i="2"/>
  <c r="AB763" i="2" s="1"/>
  <c r="AA820" i="2"/>
  <c r="AB820" i="2" s="1"/>
  <c r="AA827" i="2"/>
  <c r="AB827" i="2" s="1"/>
  <c r="AA857" i="2"/>
  <c r="AB857" i="2" s="1"/>
  <c r="AA914" i="2"/>
  <c r="AB914" i="2" s="1"/>
  <c r="AA921" i="2"/>
  <c r="AB921" i="2" s="1"/>
  <c r="AA932" i="2"/>
  <c r="AB932" i="2" s="1"/>
  <c r="AA996" i="2"/>
  <c r="AB996" i="2" s="1"/>
  <c r="AA1078" i="2"/>
  <c r="AB1078" i="2" s="1"/>
  <c r="AA1095" i="2"/>
  <c r="AB1095" i="2" s="1"/>
  <c r="AA1106" i="2"/>
  <c r="AB1106" i="2" s="1"/>
  <c r="AA39" i="2"/>
  <c r="AB39" i="2" s="1"/>
  <c r="AA65" i="2"/>
  <c r="AB65" i="2" s="1"/>
  <c r="AA77" i="2"/>
  <c r="AB77" i="2" s="1"/>
  <c r="AA142" i="2"/>
  <c r="AB142" i="2" s="1"/>
  <c r="AA210" i="2"/>
  <c r="AB210" i="2" s="1"/>
  <c r="AA248" i="2"/>
  <c r="AB248" i="2" s="1"/>
  <c r="AA266" i="2"/>
  <c r="AB266" i="2" s="1"/>
  <c r="AA318" i="2"/>
  <c r="AB318" i="2" s="1"/>
  <c r="AA341" i="2"/>
  <c r="AB341" i="2" s="1"/>
  <c r="AA381" i="2"/>
  <c r="AB381" i="2" s="1"/>
  <c r="AA391" i="2"/>
  <c r="AB391" i="2" s="1"/>
  <c r="AA398" i="2"/>
  <c r="AB398" i="2" s="1"/>
  <c r="AA463" i="2"/>
  <c r="AB463" i="2" s="1"/>
  <c r="AA503" i="2"/>
  <c r="AB503" i="2" s="1"/>
  <c r="AA540" i="2"/>
  <c r="AB540" i="2" s="1"/>
  <c r="AA550" i="2"/>
  <c r="AB550" i="2" s="1"/>
  <c r="AA599" i="2"/>
  <c r="AB599" i="2" s="1"/>
  <c r="AA623" i="2"/>
  <c r="AB623" i="2" s="1"/>
  <c r="AA650" i="2"/>
  <c r="AB650" i="2" s="1"/>
  <c r="AA678" i="2"/>
  <c r="AB678" i="2" s="1"/>
  <c r="AA710" i="2"/>
  <c r="AB710" i="2" s="1"/>
  <c r="AA743" i="2"/>
  <c r="AB743" i="2" s="1"/>
  <c r="AA783" i="2"/>
  <c r="AB783" i="2" s="1"/>
  <c r="AA790" i="2"/>
  <c r="AB790" i="2" s="1"/>
  <c r="AA809" i="2"/>
  <c r="AB809" i="2" s="1"/>
  <c r="AA850" i="2"/>
  <c r="AB850" i="2" s="1"/>
  <c r="AA868" i="2"/>
  <c r="AB868" i="2" s="1"/>
  <c r="AA886" i="2"/>
  <c r="AB886" i="2" s="1"/>
  <c r="AA939" i="2"/>
  <c r="AB939" i="2" s="1"/>
  <c r="AA944" i="2"/>
  <c r="AB944" i="2" s="1"/>
  <c r="AA951" i="2"/>
  <c r="AB951" i="2" s="1"/>
  <c r="AA979" i="2"/>
  <c r="AB979" i="2" s="1"/>
  <c r="AA1003" i="2"/>
  <c r="AB1003" i="2" s="1"/>
  <c r="AA1008" i="2"/>
  <c r="AB1008" i="2" s="1"/>
  <c r="AA1015" i="2"/>
  <c r="AB1015" i="2" s="1"/>
  <c r="AA1042" i="2"/>
  <c r="AB1042" i="2" s="1"/>
  <c r="AA1049" i="2"/>
  <c r="AB1049" i="2" s="1"/>
  <c r="AA1060" i="2"/>
  <c r="AB1060" i="2" s="1"/>
  <c r="AA1113" i="2"/>
  <c r="AB1113" i="2" s="1"/>
  <c r="AA7" i="2"/>
  <c r="AB7" i="2" s="1"/>
  <c r="AA59" i="2"/>
  <c r="AB59" i="2" s="1"/>
  <c r="AA78" i="2"/>
  <c r="AB78" i="2" s="1"/>
  <c r="AA101" i="2"/>
  <c r="AB101" i="2" s="1"/>
  <c r="AA136" i="2"/>
  <c r="AB136" i="2" s="1"/>
  <c r="AA514" i="2"/>
  <c r="AB514" i="2" s="1"/>
  <c r="AA534" i="2"/>
  <c r="AB534" i="2" s="1"/>
  <c r="AA711" i="2"/>
  <c r="AB711" i="2" s="1"/>
  <c r="AA723" i="2"/>
  <c r="AB723" i="2" s="1"/>
  <c r="AA744" i="2"/>
  <c r="AB744" i="2" s="1"/>
  <c r="AA784" i="2"/>
  <c r="AB784" i="2" s="1"/>
  <c r="AA791" i="2"/>
  <c r="AB791" i="2" s="1"/>
  <c r="AA797" i="2"/>
  <c r="AB797" i="2" s="1"/>
  <c r="AA851" i="2"/>
  <c r="AB851" i="2" s="1"/>
  <c r="AA869" i="2"/>
  <c r="AB869" i="2" s="1"/>
  <c r="AA880" i="2"/>
  <c r="AB880" i="2" s="1"/>
  <c r="AA887" i="2"/>
  <c r="AB887" i="2" s="1"/>
  <c r="AA905" i="2"/>
  <c r="AB905" i="2" s="1"/>
  <c r="AA962" i="2"/>
  <c r="AB962" i="2" s="1"/>
  <c r="AA969" i="2"/>
  <c r="AB969" i="2" s="1"/>
  <c r="AA980" i="2"/>
  <c r="AB980" i="2" s="1"/>
  <c r="AA1043" i="2"/>
  <c r="AB1043" i="2" s="1"/>
  <c r="AA1079" i="2"/>
  <c r="AB1079" i="2" s="1"/>
  <c r="AA342" i="2"/>
  <c r="AB342" i="2" s="1"/>
  <c r="AA515" i="2"/>
  <c r="AB515" i="2" s="1"/>
  <c r="AA519" i="2"/>
  <c r="AB519" i="2" s="1"/>
  <c r="AA595" i="2"/>
  <c r="AB595" i="2" s="1"/>
  <c r="AA607" i="2"/>
  <c r="AB607" i="2" s="1"/>
  <c r="AA692" i="2"/>
  <c r="AB692" i="2" s="1"/>
  <c r="AA699" i="2"/>
  <c r="AB699" i="2" s="1"/>
  <c r="AA737" i="2"/>
  <c r="AB737" i="2" s="1"/>
  <c r="AA758" i="2"/>
  <c r="AB758" i="2" s="1"/>
  <c r="AA771" i="2"/>
  <c r="AB771" i="2" s="1"/>
  <c r="AA803" i="2"/>
  <c r="AB803" i="2" s="1"/>
  <c r="AA822" i="2"/>
  <c r="AB822" i="2" s="1"/>
  <c r="AA834" i="2"/>
  <c r="AB834" i="2" s="1"/>
  <c r="AA841" i="2"/>
  <c r="AB841" i="2" s="1"/>
  <c r="AA898" i="2"/>
  <c r="AB898" i="2" s="1"/>
  <c r="AA916" i="2"/>
  <c r="AB916" i="2" s="1"/>
  <c r="AA934" i="2"/>
  <c r="AB934" i="2" s="1"/>
  <c r="AA998" i="2"/>
  <c r="AB998" i="2" s="1"/>
  <c r="AA1026" i="2"/>
  <c r="AB1026" i="2" s="1"/>
  <c r="AA27" i="2"/>
  <c r="AB27" i="2" s="1"/>
  <c r="AA54" i="2"/>
  <c r="AB54" i="2" s="1"/>
  <c r="AA72" i="2"/>
  <c r="AB72" i="2" s="1"/>
  <c r="AA114" i="2"/>
  <c r="AB114" i="2" s="1"/>
  <c r="AA167" i="2"/>
  <c r="AB167" i="2" s="1"/>
  <c r="AA255" i="2"/>
  <c r="AB255" i="2" s="1"/>
  <c r="AA261" i="2"/>
  <c r="AB261" i="2" s="1"/>
  <c r="AA313" i="2"/>
  <c r="AB313" i="2" s="1"/>
  <c r="AA359" i="2"/>
  <c r="AB359" i="2" s="1"/>
  <c r="AA474" i="2"/>
  <c r="AB474" i="2" s="1"/>
  <c r="AA535" i="2"/>
  <c r="AB535" i="2" s="1"/>
  <c r="AA547" i="2"/>
  <c r="AB547" i="2" s="1"/>
  <c r="AA552" i="2"/>
  <c r="AB552" i="2" s="1"/>
  <c r="AA568" i="2"/>
  <c r="AB568" i="2" s="1"/>
  <c r="AA579" i="2"/>
  <c r="AB579" i="2" s="1"/>
  <c r="AA584" i="2"/>
  <c r="AB584" i="2" s="1"/>
  <c r="AA635" i="2"/>
  <c r="AB635" i="2" s="1"/>
  <c r="AA724" i="2"/>
  <c r="AB724" i="2" s="1"/>
  <c r="AA731" i="2"/>
  <c r="AB731" i="2" s="1"/>
  <c r="AA751" i="2"/>
  <c r="AB751" i="2" s="1"/>
  <c r="AA1033" i="2"/>
  <c r="AB1033" i="2" s="1"/>
  <c r="AA60" i="2"/>
  <c r="AB60" i="2" s="1"/>
  <c r="AA778" i="2"/>
  <c r="AB778" i="2" s="1"/>
  <c r="AA876" i="2"/>
  <c r="AB876" i="2" s="1"/>
  <c r="AA1027" i="2"/>
  <c r="AB1027" i="2" s="1"/>
  <c r="AA102" i="2"/>
  <c r="AB102" i="2" s="1"/>
  <c r="AA108" i="2"/>
  <c r="AB108" i="2" s="1"/>
  <c r="AA115" i="2"/>
  <c r="AB115" i="2" s="1"/>
  <c r="AA161" i="2"/>
  <c r="AB161" i="2" s="1"/>
  <c r="AA192" i="2"/>
  <c r="AB192" i="2" s="1"/>
  <c r="AA199" i="2"/>
  <c r="AB199" i="2" s="1"/>
  <c r="AA225" i="2"/>
  <c r="AB225" i="2" s="1"/>
  <c r="AA280" i="2"/>
  <c r="AB280" i="2" s="1"/>
  <c r="AA320" i="2"/>
  <c r="AB320" i="2" s="1"/>
  <c r="AA343" i="2"/>
  <c r="AB343" i="2" s="1"/>
  <c r="AA360" i="2"/>
  <c r="AB360" i="2" s="1"/>
  <c r="AA366" i="2"/>
  <c r="AB366" i="2" s="1"/>
  <c r="AA427" i="2"/>
  <c r="AB427" i="2" s="1"/>
  <c r="AA536" i="2"/>
  <c r="AB536" i="2" s="1"/>
  <c r="AA575" i="2"/>
  <c r="AB575" i="2" s="1"/>
  <c r="AA591" i="2"/>
  <c r="AB591" i="2" s="1"/>
  <c r="AA608" i="2"/>
  <c r="AB608" i="2" s="1"/>
  <c r="AA636" i="2"/>
  <c r="AB636" i="2" s="1"/>
  <c r="AA662" i="2"/>
  <c r="AB662" i="2" s="1"/>
  <c r="AA687" i="2"/>
  <c r="AB687" i="2" s="1"/>
  <c r="AA752" i="2"/>
  <c r="AB752" i="2" s="1"/>
  <c r="AA864" i="2"/>
  <c r="AB864" i="2" s="1"/>
  <c r="AA871" i="2"/>
  <c r="AB871" i="2" s="1"/>
  <c r="AA946" i="2"/>
  <c r="AB946" i="2" s="1"/>
  <c r="AA953" i="2"/>
  <c r="AB953" i="2" s="1"/>
  <c r="AA964" i="2"/>
  <c r="AB964" i="2" s="1"/>
  <c r="AA982" i="2"/>
  <c r="AB982" i="2" s="1"/>
  <c r="AA1010" i="2"/>
  <c r="AB1010" i="2" s="1"/>
  <c r="AA1017" i="2"/>
  <c r="AB1017" i="2" s="1"/>
  <c r="AA1056" i="2"/>
  <c r="AB1056" i="2" s="1"/>
  <c r="AA1063" i="2"/>
  <c r="AB1063" i="2" s="1"/>
  <c r="AA1091" i="2"/>
  <c r="AB1091" i="2" s="1"/>
  <c r="AA1120" i="2"/>
  <c r="AB1120" i="2" s="1"/>
  <c r="AA3" i="2"/>
  <c r="AB3" i="2" s="1"/>
  <c r="AA9" i="2"/>
  <c r="AB9" i="2" s="1"/>
  <c r="AA16" i="2"/>
  <c r="AB16" i="2" s="1"/>
  <c r="AA28" i="2"/>
  <c r="AB28" i="2" s="1"/>
  <c r="AA49" i="2"/>
  <c r="AB49" i="2" s="1"/>
  <c r="AA61" i="2"/>
  <c r="AB61" i="2" s="1"/>
  <c r="AA80" i="2"/>
  <c r="AB80" i="2" s="1"/>
  <c r="AA29" i="2"/>
  <c r="AB29" i="2" s="1"/>
  <c r="AA97" i="2"/>
  <c r="AB97" i="2" s="1"/>
  <c r="AA109" i="2"/>
  <c r="AB109" i="2" s="1"/>
  <c r="AA133" i="2"/>
  <c r="AB133" i="2" s="1"/>
  <c r="AA162" i="2"/>
  <c r="AB162" i="2" s="1"/>
  <c r="AA193" i="2"/>
  <c r="AB193" i="2" s="1"/>
  <c r="AA213" i="2"/>
  <c r="AB213" i="2" s="1"/>
  <c r="AA286" i="2"/>
  <c r="AB286" i="2" s="1"/>
  <c r="AA314" i="2"/>
  <c r="AB314" i="2" s="1"/>
  <c r="AA372" i="2"/>
  <c r="AB372" i="2" s="1"/>
  <c r="AA417" i="2"/>
  <c r="AB417" i="2" s="1"/>
  <c r="AA433" i="2"/>
  <c r="AB433" i="2" s="1"/>
  <c r="AA553" i="2"/>
  <c r="AB553" i="2" s="1"/>
  <c r="AA560" i="2"/>
  <c r="AB560" i="2" s="1"/>
  <c r="AA569" i="2"/>
  <c r="AB569" i="2" s="1"/>
  <c r="AA585" i="2"/>
  <c r="AB585" i="2" s="1"/>
  <c r="AA732" i="2"/>
  <c r="AB732" i="2" s="1"/>
  <c r="AA746" i="2"/>
  <c r="AB746" i="2" s="1"/>
  <c r="AA766" i="2"/>
  <c r="AB766" i="2" s="1"/>
  <c r="AA830" i="2"/>
  <c r="AB830" i="2" s="1"/>
  <c r="AA894" i="2"/>
  <c r="AB894" i="2" s="1"/>
  <c r="AA988" i="2"/>
  <c r="AB988" i="2" s="1"/>
  <c r="AA1034" i="2"/>
  <c r="AB1034" i="2" s="1"/>
  <c r="AA1081" i="2"/>
  <c r="AB1081" i="2" s="1"/>
  <c r="AA1092" i="2"/>
  <c r="AB1092" i="2" s="1"/>
  <c r="AA315" i="2"/>
  <c r="AB315" i="2" s="1"/>
  <c r="AA428" i="2"/>
  <c r="AB428" i="2" s="1"/>
  <c r="AA460" i="2"/>
  <c r="AB460" i="2" s="1"/>
  <c r="AA492" i="2"/>
  <c r="AB492" i="2" s="1"/>
  <c r="AA603" i="2"/>
  <c r="AB603" i="2" s="1"/>
  <c r="AA620" i="2"/>
  <c r="AB620" i="2" s="1"/>
  <c r="AA647" i="2"/>
  <c r="AB647" i="2" s="1"/>
  <c r="AA664" i="2"/>
  <c r="AB664" i="2" s="1"/>
  <c r="AA675" i="2"/>
  <c r="AB675" i="2" s="1"/>
  <c r="AA695" i="2"/>
  <c r="AB695" i="2" s="1"/>
  <c r="AA720" i="2"/>
  <c r="AB720" i="2" s="1"/>
  <c r="AA726" i="2"/>
  <c r="AB726" i="2" s="1"/>
  <c r="AA733" i="2"/>
  <c r="AB733" i="2" s="1"/>
  <c r="AA740" i="2"/>
  <c r="AB740" i="2" s="1"/>
  <c r="AA767" i="2"/>
  <c r="AB767" i="2" s="1"/>
  <c r="AA806" i="2"/>
  <c r="AB806" i="2" s="1"/>
  <c r="AA912" i="2"/>
  <c r="AB912" i="2" s="1"/>
  <c r="AA919" i="2"/>
  <c r="AB919" i="2" s="1"/>
  <c r="AA1029" i="2"/>
  <c r="AB1029" i="2" s="1"/>
  <c r="AA1035" i="2"/>
  <c r="AB1035" i="2" s="1"/>
  <c r="AA1075" i="2"/>
  <c r="AB1075" i="2" s="1"/>
  <c r="AA1099" i="2"/>
  <c r="AB1099" i="2" s="1"/>
  <c r="AA1104" i="2"/>
  <c r="AB1104" i="2" s="1"/>
  <c r="AA10" i="2"/>
  <c r="AB10" i="2" s="1"/>
  <c r="AA37" i="2"/>
  <c r="AB37" i="2" s="1"/>
  <c r="AA69" i="2"/>
  <c r="AB69" i="2" s="1"/>
  <c r="AA110" i="2"/>
  <c r="AB110" i="2" s="1"/>
  <c r="AA146" i="2"/>
  <c r="AB146" i="2" s="1"/>
  <c r="AA155" i="2"/>
  <c r="AB155" i="2" s="1"/>
  <c r="AA163" i="2"/>
  <c r="AB163" i="2" s="1"/>
  <c r="AA220" i="2"/>
  <c r="AB220" i="2" s="1"/>
  <c r="AA379" i="2"/>
  <c r="AB379" i="2" s="1"/>
  <c r="AA406" i="2"/>
  <c r="AB406" i="2" s="1"/>
  <c r="AA422" i="2"/>
  <c r="AB422" i="2" s="1"/>
  <c r="AA444" i="2"/>
  <c r="AB444" i="2" s="1"/>
  <c r="AA454" i="2"/>
  <c r="AB454" i="2" s="1"/>
  <c r="AA470" i="2"/>
  <c r="AB470" i="2" s="1"/>
  <c r="AA631" i="2"/>
  <c r="AB631" i="2" s="1"/>
  <c r="AA707" i="2"/>
  <c r="AB707" i="2" s="1"/>
  <c r="AA761" i="2"/>
  <c r="AB761" i="2" s="1"/>
  <c r="AA774" i="2"/>
  <c r="AB774" i="2" s="1"/>
  <c r="AA787" i="2"/>
  <c r="AB787" i="2" s="1"/>
  <c r="AA825" i="2"/>
  <c r="AB825" i="2" s="1"/>
  <c r="AA848" i="2"/>
  <c r="AB848" i="2" s="1"/>
  <c r="AA855" i="2"/>
  <c r="AB855" i="2" s="1"/>
  <c r="AA883" i="2"/>
  <c r="AB883" i="2" s="1"/>
  <c r="AA948" i="2"/>
  <c r="AB948" i="2" s="1"/>
  <c r="AA966" i="2"/>
  <c r="AB966" i="2" s="1"/>
  <c r="AA1012" i="2"/>
  <c r="AB1012" i="2" s="1"/>
  <c r="AA1040" i="2"/>
  <c r="AB1040" i="2" s="1"/>
  <c r="AA1047" i="2"/>
  <c r="AB1047" i="2" s="1"/>
  <c r="AA1093" i="2"/>
  <c r="AB1093" i="2" s="1"/>
  <c r="AA104" i="2"/>
  <c r="AB104" i="2" s="1"/>
  <c r="AA368" i="2"/>
  <c r="AB368" i="2" s="1"/>
  <c r="AA937" i="2"/>
  <c r="AB937" i="2" s="1"/>
  <c r="AA1001" i="2"/>
  <c r="AB1001" i="2" s="1"/>
  <c r="AA1111" i="2"/>
  <c r="AB1111" i="2" s="1"/>
  <c r="AA214" i="2"/>
  <c r="AB214" i="2" s="1"/>
  <c r="AA5" i="2"/>
  <c r="AB5" i="2" s="1"/>
  <c r="AA44" i="2"/>
  <c r="AB44" i="2" s="1"/>
  <c r="AA82" i="2"/>
  <c r="AB82" i="2" s="1"/>
  <c r="AA140" i="2"/>
  <c r="AB140" i="2" s="1"/>
  <c r="AA147" i="2"/>
  <c r="AB147" i="2" s="1"/>
  <c r="AA176" i="2"/>
  <c r="AB176" i="2" s="1"/>
  <c r="AA188" i="2"/>
  <c r="AB188" i="2" s="1"/>
  <c r="AA195" i="2"/>
  <c r="AB195" i="2" s="1"/>
  <c r="AA208" i="2"/>
  <c r="AB208" i="2" s="1"/>
  <c r="AA252" i="2"/>
  <c r="AB252" i="2" s="1"/>
  <c r="AA396" i="2"/>
  <c r="AB396" i="2" s="1"/>
  <c r="AA407" i="2"/>
  <c r="AB407" i="2" s="1"/>
  <c r="AA423" i="2"/>
  <c r="AB423" i="2" s="1"/>
  <c r="AA439" i="2"/>
  <c r="AB439" i="2" s="1"/>
  <c r="AA455" i="2"/>
  <c r="AB455" i="2" s="1"/>
  <c r="AA471" i="2"/>
  <c r="AB471" i="2" s="1"/>
  <c r="AA538" i="2"/>
  <c r="AB538" i="2" s="1"/>
  <c r="AA632" i="2"/>
  <c r="AB632" i="2" s="1"/>
  <c r="AA655" i="2"/>
  <c r="AB655" i="2" s="1"/>
  <c r="AA708" i="2"/>
  <c r="AB708" i="2" s="1"/>
  <c r="AA715" i="2"/>
  <c r="AB715" i="2" s="1"/>
  <c r="AA741" i="2"/>
  <c r="AB741" i="2" s="1"/>
  <c r="AA775" i="2"/>
  <c r="AB775" i="2" s="1"/>
  <c r="AA788" i="2"/>
  <c r="AB788" i="2" s="1"/>
  <c r="AA866" i="2"/>
  <c r="AB866" i="2" s="1"/>
  <c r="AA884" i="2"/>
  <c r="AB884" i="2" s="1"/>
  <c r="AA960" i="2"/>
  <c r="AB960" i="2" s="1"/>
  <c r="AA967" i="2"/>
  <c r="AB967" i="2" s="1"/>
  <c r="AA1058" i="2"/>
  <c r="AB1058" i="2" s="1"/>
  <c r="AA1065" i="2"/>
  <c r="AB1065" i="2" s="1"/>
  <c r="AA1094" i="2"/>
  <c r="AB1094" i="2" s="1"/>
  <c r="AA328" i="2"/>
  <c r="AB328" i="2" s="1"/>
  <c r="AA397" i="2"/>
  <c r="AB397" i="2" s="1"/>
  <c r="AA20" i="2"/>
  <c r="AB20" i="2" s="1"/>
  <c r="AA235" i="2"/>
  <c r="AB235" i="2" s="1"/>
  <c r="AA257" i="2"/>
  <c r="AB257" i="2" s="1"/>
  <c r="AA350" i="2"/>
  <c r="AB350" i="2" s="1"/>
  <c r="AA294" i="2"/>
  <c r="AB294" i="2" s="1"/>
  <c r="AA13" i="2"/>
  <c r="AB13" i="2" s="1"/>
  <c r="AA164" i="2"/>
  <c r="AB164" i="2" s="1"/>
  <c r="AA36" i="2"/>
  <c r="AB36" i="2" s="1"/>
  <c r="AA180" i="2"/>
  <c r="AB180" i="2" s="1"/>
  <c r="AA228" i="2"/>
  <c r="AB228" i="2" s="1"/>
  <c r="AA258" i="2"/>
  <c r="AB258" i="2" s="1"/>
  <c r="AA272" i="2"/>
  <c r="AB272" i="2" s="1"/>
  <c r="AA325" i="2"/>
  <c r="AB325" i="2" s="1"/>
  <c r="AA212" i="2"/>
  <c r="AB212" i="2" s="1"/>
  <c r="AA277" i="2"/>
  <c r="AB277" i="2" s="1"/>
  <c r="AA52" i="2"/>
  <c r="AB52" i="2" s="1"/>
  <c r="AA250" i="2"/>
  <c r="AB250" i="2" s="1"/>
  <c r="AA264" i="2"/>
  <c r="AB264" i="2" s="1"/>
  <c r="AA116" i="2"/>
  <c r="AB116" i="2" s="1"/>
  <c r="AA321" i="2"/>
  <c r="AB321" i="2" s="1"/>
  <c r="AA242" i="2"/>
  <c r="AB242" i="2" s="1"/>
  <c r="AA306" i="2"/>
  <c r="AB306" i="2" s="1"/>
  <c r="AA45" i="2"/>
  <c r="AB45" i="2" s="1"/>
  <c r="AA4" i="2"/>
  <c r="AB4" i="2" s="1"/>
  <c r="AA265" i="2"/>
  <c r="AB265" i="2" s="1"/>
  <c r="AA283" i="2"/>
  <c r="AB283" i="2" s="1"/>
  <c r="AA363" i="2"/>
  <c r="AB363" i="2" s="1"/>
  <c r="AA413" i="2"/>
  <c r="AB413" i="2" s="1"/>
  <c r="AA621" i="2"/>
  <c r="AB621" i="2" s="1"/>
  <c r="AA354" i="2"/>
  <c r="AB354" i="2" s="1"/>
  <c r="AA362" i="2"/>
  <c r="AB362" i="2" s="1"/>
  <c r="AA426" i="2"/>
  <c r="AB426" i="2" s="1"/>
  <c r="AA490" i="2"/>
  <c r="AB490" i="2" s="1"/>
  <c r="AA571" i="2"/>
  <c r="AB571" i="2" s="1"/>
  <c r="AA346" i="2"/>
  <c r="AB346" i="2" s="1"/>
  <c r="AA367" i="2"/>
  <c r="AB367" i="2" s="1"/>
  <c r="AA414" i="2"/>
  <c r="AB414" i="2" s="1"/>
  <c r="AA586" i="2"/>
  <c r="AB586" i="2" s="1"/>
  <c r="AA415" i="2"/>
  <c r="AB415" i="2" s="1"/>
  <c r="AA459" i="2"/>
  <c r="AB459" i="2" s="1"/>
  <c r="AA539" i="2"/>
  <c r="AB539" i="2" s="1"/>
  <c r="AA410" i="2"/>
  <c r="AB410" i="2" s="1"/>
  <c r="AA411" i="2"/>
  <c r="AB411" i="2" s="1"/>
  <c r="AA447" i="2"/>
  <c r="AB447" i="2" s="1"/>
  <c r="AA507" i="2"/>
  <c r="AB507" i="2" s="1"/>
  <c r="AA554" i="2"/>
  <c r="AB554" i="2" s="1"/>
  <c r="AA602" i="2"/>
  <c r="AB602" i="2" s="1"/>
  <c r="AA399" i="2"/>
  <c r="AB399" i="2" s="1"/>
  <c r="AA442" i="2"/>
  <c r="AB442" i="2" s="1"/>
  <c r="AA555" i="2"/>
  <c r="AB555" i="2" s="1"/>
  <c r="AA779" i="2"/>
  <c r="AB779" i="2" s="1"/>
  <c r="AA394" i="2"/>
  <c r="AB394" i="2" s="1"/>
  <c r="AA475" i="2"/>
  <c r="AB475" i="2" s="1"/>
  <c r="AA443" i="2"/>
  <c r="AB443" i="2" s="1"/>
  <c r="AA522" i="2"/>
  <c r="AB522" i="2" s="1"/>
  <c r="AA383" i="2"/>
  <c r="AB383" i="2" s="1"/>
  <c r="AA395" i="2"/>
  <c r="AB395" i="2" s="1"/>
  <c r="AA431" i="2"/>
  <c r="AB431" i="2" s="1"/>
  <c r="AA523" i="2"/>
  <c r="AB523" i="2" s="1"/>
  <c r="AA570" i="2"/>
  <c r="AB570" i="2" s="1"/>
  <c r="AA1061" i="2"/>
  <c r="AB1061" i="2" s="1"/>
  <c r="AA709" i="2"/>
  <c r="AB709" i="2" s="1"/>
  <c r="AA965" i="2"/>
  <c r="AB965" i="2" s="1"/>
  <c r="AA681" i="2"/>
  <c r="AB681" i="2" s="1"/>
  <c r="AA821" i="2"/>
  <c r="AB821" i="2" s="1"/>
  <c r="AA1045" i="2"/>
  <c r="AB1045" i="2" s="1"/>
  <c r="AA949" i="2"/>
  <c r="AB949" i="2" s="1"/>
  <c r="AA1013" i="2"/>
  <c r="AB1013" i="2" s="1"/>
  <c r="AA1109" i="2"/>
  <c r="AB1109" i="2" s="1"/>
  <c r="AA805" i="2"/>
  <c r="AB805" i="2" s="1"/>
  <c r="AA677" i="2"/>
  <c r="AB677" i="2" s="1"/>
  <c r="AA713" i="2"/>
  <c r="AB713" i="2" s="1"/>
  <c r="AA853" i="2"/>
  <c r="AB853" i="2" s="1"/>
  <c r="AA917" i="2"/>
  <c r="AB917" i="2" s="1"/>
  <c r="AA837" i="2"/>
  <c r="AB837" i="2" s="1"/>
  <c r="AA1077" i="2"/>
  <c r="AB1077" i="2" s="1"/>
  <c r="AA679" i="2"/>
  <c r="AB679" i="2" s="1"/>
  <c r="AA697" i="2"/>
  <c r="AB697" i="2" s="1"/>
  <c r="AA757" i="2"/>
  <c r="AB757" i="2" s="1"/>
  <c r="AA901" i="2"/>
  <c r="AB901" i="2" s="1"/>
  <c r="AA981" i="2"/>
  <c r="AB981" i="2" s="1"/>
</calcChain>
</file>

<file path=xl/sharedStrings.xml><?xml version="1.0" encoding="utf-8"?>
<sst xmlns="http://schemas.openxmlformats.org/spreadsheetml/2006/main" count="10332" uniqueCount="1363">
  <si>
    <t>قاعدة بيانات حساب مساهمة P2O5 - طريقة COMIFER (تونس) - أمثلة توضيحية</t>
  </si>
  <si>
    <t>عدد الأسطر المستوردة</t>
  </si>
  <si>
    <t>عدد الأمثلة</t>
  </si>
  <si>
    <t>الولايات المشمولة</t>
  </si>
  <si>
    <t>الحسابات الآلية</t>
  </si>
  <si>
    <t>التصدير ← المساهمة الضرورية ← المساهمة المعدنية ← الجرعة بالقطعة</t>
  </si>
  <si>
    <t>المرجع المنهجي</t>
  </si>
  <si>
    <t>Guide_Dosage_P2O5_COMIFER.pdf</t>
  </si>
  <si>
    <t>ملاحظة حول التكييف الهيكلي</t>
  </si>
  <si>
    <t>تم تكييف هيكل هذا الملف (أسماء الأوراق وترتيب الأعمدة الأولى) ليطابق ملف "Donnees_Agriculteurs_MAJ_10092026_gouv_avec_P2O5.xlsx": ورقة 'ملخص' وورقة 'التجميع' بنفس الأعمدة الأساسية (الرقم التسلسلي، الملف المصدر، المجموعة/المعتمدية، رقم العينة/المرجع، اسم الفلاح، المكان/القطعة، رمز العينة، Latitude/Longitude، الولاية المصرح بها، نظام الإحداثيات الأصلي، الإحداثيات الأصلية، المساحة (هك)، الزراعة السابقة، الهاتف، ملاحظات، P2O5 assim.). أعمدة حسابات COMIFER الخاصة بهذا الملف (التصدير، المعاملات، المساهمات...) أُضيفت بعد هذه الأعمدة المشتركة، بنفس تنسيق رأس الجدول.</t>
  </si>
  <si>
    <t>الحقول غير المتوفرة في المصدر</t>
  </si>
  <si>
    <t>اسم الفلاح، المكان/القطعة، والهاتف غير موجودة في قاعدة بيانات أمثلة COMIFER (بيانات تصدير/جرعة وليست بيانات مواقع ميدانية)، وقد تُركت فارغة عمداً في ورقة 'التجميع' أدناه. حقل 'الزراعة السابقة' يقابل عمود 'Culture' في الملف الأصلي (وهو الزراعة الحالية/المستهدفة وليست بالضرورة الزراعة السابقة). تنبيه مهم بخصوص الإحداثيات: أعمدة Latitude/Longitude (بالدرجات العشرية WGS84) تم توليدها تقديرياً حول مركز كل معتمدية (تشتت عشوائي ±0.025° أي ~2-3 كم) لأن الملف الأصلي لا يحتوي على إحداثيات حقيقية للقطع. هذه الإحداثيات ليست مواقع ميدانية فعلية ويجب استبدالها بإحداثيات GPS حقيقية قبل أي استخدام تشغيلي.</t>
  </si>
  <si>
    <t>الملف</t>
  </si>
  <si>
    <t>عدد الأسطر</t>
  </si>
  <si>
    <t>ملاحظات</t>
  </si>
  <si>
    <t>Base_Donnees_Calcul_Apport_P2O5_COMIFER_Tunisie_Exemples.xlsx</t>
  </si>
  <si>
    <t>بيانات أمثلة تعليمية (Calculs_P2O5) - معاملات بيداغوجية يجب التحقق منها مع شبكة COMIFER والمراجع التونسية. إحداثيات Lat/Lon تقديرية (مركز المعتمدية) وليست حقيقية.</t>
  </si>
  <si>
    <t>الرقم التسلسلي</t>
  </si>
  <si>
    <t>الملف المصدر</t>
  </si>
  <si>
    <t>المجموعة/المعتمدية</t>
  </si>
  <si>
    <t>رقم العينة/المرجع</t>
  </si>
  <si>
    <t>اسم الفلاح</t>
  </si>
  <si>
    <t>المكان / القطعة</t>
  </si>
  <si>
    <t>رمز العينة</t>
  </si>
  <si>
    <t xml:space="preserve"> Latitude (WGS84)</t>
  </si>
  <si>
    <t xml:space="preserve"> Longitude (WGS84)</t>
  </si>
  <si>
    <t>الولاية المصرح بها</t>
  </si>
  <si>
    <t>نظام الإحداثيات الأصلي</t>
  </si>
  <si>
    <t>الإحداثيات الأصلية (كما وردت)</t>
  </si>
  <si>
    <t>المساحة (هك)</t>
  </si>
  <si>
    <t>الزراعة السابقة</t>
  </si>
  <si>
    <t>الهاتف</t>
  </si>
  <si>
    <t>Coefficient_multiplicateur</t>
  </si>
  <si>
    <t>Coeff_equivalent_engrais</t>
  </si>
  <si>
    <t>La Soukra</t>
  </si>
  <si>
    <t>P2O5-0001</t>
  </si>
  <si>
    <t>Ariana</t>
  </si>
  <si>
    <t>WGS84 - تقديري (مركز المعتمدية)</t>
  </si>
  <si>
    <t>Blé dur</t>
  </si>
  <si>
    <t>EXEMPLE — coefficients pédagogiques à valider avec la grille COMIFER</t>
  </si>
  <si>
    <t>Élevée</t>
  </si>
  <si>
    <t>Medjez el Bab</t>
  </si>
  <si>
    <t>P2O5-0002</t>
  </si>
  <si>
    <t>Béja</t>
  </si>
  <si>
    <t>Blé tendre</t>
  </si>
  <si>
    <t>Mornag</t>
  </si>
  <si>
    <t>P2O5-0003</t>
  </si>
  <si>
    <t>Ben Arous</t>
  </si>
  <si>
    <t>Orge</t>
  </si>
  <si>
    <t>Menzel Bourguiba</t>
  </si>
  <si>
    <t>P2O5-0004</t>
  </si>
  <si>
    <t>Bizerte</t>
  </si>
  <si>
    <t>Maïs</t>
  </si>
  <si>
    <t>Faible</t>
  </si>
  <si>
    <t>Mareth</t>
  </si>
  <si>
    <t>P2O5-0005</t>
  </si>
  <si>
    <t>Gabès</t>
  </si>
  <si>
    <t>Pomme de terre</t>
  </si>
  <si>
    <t>Moyenne</t>
  </si>
  <si>
    <t>Métlaoui</t>
  </si>
  <si>
    <t>P2O5-0006</t>
  </si>
  <si>
    <t>Gafsa</t>
  </si>
  <si>
    <t>Tomate</t>
  </si>
  <si>
    <t>Tabarka</t>
  </si>
  <si>
    <t>P2O5-0007</t>
  </si>
  <si>
    <t>Jendouba</t>
  </si>
  <si>
    <t>Olivier</t>
  </si>
  <si>
    <t>Sbikha</t>
  </si>
  <si>
    <t>P2O5-0008</t>
  </si>
  <si>
    <t>Kairouan</t>
  </si>
  <si>
    <t>Agrumes</t>
  </si>
  <si>
    <t>Sbeitla</t>
  </si>
  <si>
    <t>P2O5-0009</t>
  </si>
  <si>
    <t>Kasserine</t>
  </si>
  <si>
    <t>Vigne</t>
  </si>
  <si>
    <t>Douz</t>
  </si>
  <si>
    <t>P2O5-0010</t>
  </si>
  <si>
    <t>Kébili</t>
  </si>
  <si>
    <t>Légumineuses</t>
  </si>
  <si>
    <t>Dahmani</t>
  </si>
  <si>
    <t>P2O5-0011</t>
  </si>
  <si>
    <t>Le Kef</t>
  </si>
  <si>
    <t>Chebba</t>
  </si>
  <si>
    <t>P2O5-0012</t>
  </si>
  <si>
    <t>Mahdia</t>
  </si>
  <si>
    <t>Tebourba</t>
  </si>
  <si>
    <t>P2O5-0013</t>
  </si>
  <si>
    <t>La Manouba</t>
  </si>
  <si>
    <t>Djerba Midoun</t>
  </si>
  <si>
    <t>P2O5-0014</t>
  </si>
  <si>
    <t>Médenine</t>
  </si>
  <si>
    <t>Très faible</t>
  </si>
  <si>
    <t>Jemmal</t>
  </si>
  <si>
    <t>P2O5-0015</t>
  </si>
  <si>
    <t>Monastir</t>
  </si>
  <si>
    <t>Korba</t>
  </si>
  <si>
    <t>P2O5-0016</t>
  </si>
  <si>
    <t>Nabeul</t>
  </si>
  <si>
    <t>Agareb</t>
  </si>
  <si>
    <t>P2O5-0017</t>
  </si>
  <si>
    <t>Sfax</t>
  </si>
  <si>
    <t>Regueb</t>
  </si>
  <si>
    <t>P2O5-0018</t>
  </si>
  <si>
    <t>Sidi Bouzid</t>
  </si>
  <si>
    <t>Makthar</t>
  </si>
  <si>
    <t>P2O5-0019</t>
  </si>
  <si>
    <t>Siliana</t>
  </si>
  <si>
    <t>Enfidha</t>
  </si>
  <si>
    <t>P2O5-0020</t>
  </si>
  <si>
    <t>Sousse</t>
  </si>
  <si>
    <t>Ghomrassen</t>
  </si>
  <si>
    <t>P2O5-0021</t>
  </si>
  <si>
    <t>Tataouine</t>
  </si>
  <si>
    <t>Nefta</t>
  </si>
  <si>
    <t>P2O5-0022</t>
  </si>
  <si>
    <t>Tozeur</t>
  </si>
  <si>
    <t>Carthage</t>
  </si>
  <si>
    <t>P2O5-0023</t>
  </si>
  <si>
    <t>Tunis</t>
  </si>
  <si>
    <t>El Fahs</t>
  </si>
  <si>
    <t>P2O5-0024</t>
  </si>
  <si>
    <t>Zaghouan</t>
  </si>
  <si>
    <t>P2O5-0025</t>
  </si>
  <si>
    <t>P2O5-0026</t>
  </si>
  <si>
    <t>P2O5-0027</t>
  </si>
  <si>
    <t>P2O5-0028</t>
  </si>
  <si>
    <t>P2O5-0029</t>
  </si>
  <si>
    <t>P2O5-0030</t>
  </si>
  <si>
    <t>P2O5-0031</t>
  </si>
  <si>
    <t>P2O5-0032</t>
  </si>
  <si>
    <t>P2O5-0033</t>
  </si>
  <si>
    <t>P2O5-0034</t>
  </si>
  <si>
    <t>P2O5-0035</t>
  </si>
  <si>
    <t>P2O5-0036</t>
  </si>
  <si>
    <t>P2O5-0037</t>
  </si>
  <si>
    <t>P2O5-0038</t>
  </si>
  <si>
    <t>P2O5-0039</t>
  </si>
  <si>
    <t>P2O5-0040</t>
  </si>
  <si>
    <t>P2O5-0041</t>
  </si>
  <si>
    <t>P2O5-0042</t>
  </si>
  <si>
    <t>P2O5-0043</t>
  </si>
  <si>
    <t>P2O5-0044</t>
  </si>
  <si>
    <t>P2O5-0045</t>
  </si>
  <si>
    <t>P2O5-0046</t>
  </si>
  <si>
    <t>P2O5-0047</t>
  </si>
  <si>
    <t>P2O5-0048</t>
  </si>
  <si>
    <t>P2O5-0049</t>
  </si>
  <si>
    <t>P2O5-0050</t>
  </si>
  <si>
    <t>P2O5-0051</t>
  </si>
  <si>
    <t>P2O5-0052</t>
  </si>
  <si>
    <t>P2O5-0053</t>
  </si>
  <si>
    <t>P2O5-0054</t>
  </si>
  <si>
    <t>P2O5-0055</t>
  </si>
  <si>
    <t>P2O5-0056</t>
  </si>
  <si>
    <t>P2O5-0057</t>
  </si>
  <si>
    <t>P2O5-0058</t>
  </si>
  <si>
    <t>P2O5-0059</t>
  </si>
  <si>
    <t>P2O5-0060</t>
  </si>
  <si>
    <t>P2O5-0061</t>
  </si>
  <si>
    <t>P2O5-0062</t>
  </si>
  <si>
    <t>P2O5-0063</t>
  </si>
  <si>
    <t>P2O5-0064</t>
  </si>
  <si>
    <t>P2O5-0065</t>
  </si>
  <si>
    <t>P2O5-0066</t>
  </si>
  <si>
    <t>P2O5-0067</t>
  </si>
  <si>
    <t>P2O5-0068</t>
  </si>
  <si>
    <t>P2O5-0069</t>
  </si>
  <si>
    <t>P2O5-0070</t>
  </si>
  <si>
    <t>P2O5-0071</t>
  </si>
  <si>
    <t>P2O5-0072</t>
  </si>
  <si>
    <t>P2O5-0073</t>
  </si>
  <si>
    <t>P2O5-0074</t>
  </si>
  <si>
    <t>P2O5-0075</t>
  </si>
  <si>
    <t>P2O5-0076</t>
  </si>
  <si>
    <t>P2O5-0077</t>
  </si>
  <si>
    <t>P2O5-0078</t>
  </si>
  <si>
    <t>P2O5-0079</t>
  </si>
  <si>
    <t>P2O5-0080</t>
  </si>
  <si>
    <t>P2O5-0081</t>
  </si>
  <si>
    <t>P2O5-0082</t>
  </si>
  <si>
    <t>P2O5-0083</t>
  </si>
  <si>
    <t>P2O5-0084</t>
  </si>
  <si>
    <t>P2O5-0085</t>
  </si>
  <si>
    <t>P2O5-0086</t>
  </si>
  <si>
    <t>P2O5-0087</t>
  </si>
  <si>
    <t>P2O5-0088</t>
  </si>
  <si>
    <t>P2O5-0089</t>
  </si>
  <si>
    <t>P2O5-0090</t>
  </si>
  <si>
    <t>P2O5-0091</t>
  </si>
  <si>
    <t>P2O5-0092</t>
  </si>
  <si>
    <t>P2O5-0093</t>
  </si>
  <si>
    <t>P2O5-0094</t>
  </si>
  <si>
    <t>P2O5-0095</t>
  </si>
  <si>
    <t>P2O5-0096</t>
  </si>
  <si>
    <t>P2O5-0097</t>
  </si>
  <si>
    <t>P2O5-0098</t>
  </si>
  <si>
    <t>P2O5-0099</t>
  </si>
  <si>
    <t>P2O5-0100</t>
  </si>
  <si>
    <t>P2O5-0101</t>
  </si>
  <si>
    <t>P2O5-0102</t>
  </si>
  <si>
    <t>P2O5-0103</t>
  </si>
  <si>
    <t>P2O5-0104</t>
  </si>
  <si>
    <t>P2O5-0105</t>
  </si>
  <si>
    <t>P2O5-0106</t>
  </si>
  <si>
    <t>P2O5-0107</t>
  </si>
  <si>
    <t>P2O5-0108</t>
  </si>
  <si>
    <t>P2O5-0109</t>
  </si>
  <si>
    <t>P2O5-0110</t>
  </si>
  <si>
    <t>P2O5-0111</t>
  </si>
  <si>
    <t>P2O5-0112</t>
  </si>
  <si>
    <t>P2O5-0113</t>
  </si>
  <si>
    <t>P2O5-0114</t>
  </si>
  <si>
    <t>P2O5-0115</t>
  </si>
  <si>
    <t>P2O5-0116</t>
  </si>
  <si>
    <t>P2O5-0117</t>
  </si>
  <si>
    <t>P2O5-0118</t>
  </si>
  <si>
    <t>P2O5-0119</t>
  </si>
  <si>
    <t>P2O5-0120</t>
  </si>
  <si>
    <t>P2O5-0121</t>
  </si>
  <si>
    <t>P2O5-0122</t>
  </si>
  <si>
    <t>P2O5-0123</t>
  </si>
  <si>
    <t>P2O5-0124</t>
  </si>
  <si>
    <t>P2O5-0125</t>
  </si>
  <si>
    <t>P2O5-0126</t>
  </si>
  <si>
    <t>P2O5-0127</t>
  </si>
  <si>
    <t>P2O5-0128</t>
  </si>
  <si>
    <t>P2O5-0129</t>
  </si>
  <si>
    <t>P2O5-0130</t>
  </si>
  <si>
    <t>P2O5-0131</t>
  </si>
  <si>
    <t>P2O5-0132</t>
  </si>
  <si>
    <t>P2O5-0133</t>
  </si>
  <si>
    <t>P2O5-0134</t>
  </si>
  <si>
    <t>P2O5-0135</t>
  </si>
  <si>
    <t>P2O5-0136</t>
  </si>
  <si>
    <t>P2O5-0137</t>
  </si>
  <si>
    <t>P2O5-0138</t>
  </si>
  <si>
    <t>P2O5-0139</t>
  </si>
  <si>
    <t>P2O5-0140</t>
  </si>
  <si>
    <t>P2O5-0141</t>
  </si>
  <si>
    <t>P2O5-0142</t>
  </si>
  <si>
    <t>P2O5-0143</t>
  </si>
  <si>
    <t>P2O5-0144</t>
  </si>
  <si>
    <t>P2O5-0145</t>
  </si>
  <si>
    <t>P2O5-0146</t>
  </si>
  <si>
    <t>P2O5-0147</t>
  </si>
  <si>
    <t>P2O5-0148</t>
  </si>
  <si>
    <t>P2O5-0149</t>
  </si>
  <si>
    <t>P2O5-0150</t>
  </si>
  <si>
    <t>P2O5-0151</t>
  </si>
  <si>
    <t>P2O5-0152</t>
  </si>
  <si>
    <t>P2O5-0153</t>
  </si>
  <si>
    <t>P2O5-0154</t>
  </si>
  <si>
    <t>P2O5-0155</t>
  </si>
  <si>
    <t>P2O5-0156</t>
  </si>
  <si>
    <t>P2O5-0157</t>
  </si>
  <si>
    <t>P2O5-0158</t>
  </si>
  <si>
    <t>P2O5-0159</t>
  </si>
  <si>
    <t>P2O5-0160</t>
  </si>
  <si>
    <t>P2O5-0161</t>
  </si>
  <si>
    <t>P2O5-0162</t>
  </si>
  <si>
    <t>P2O5-0163</t>
  </si>
  <si>
    <t>P2O5-0164</t>
  </si>
  <si>
    <t>P2O5-0165</t>
  </si>
  <si>
    <t>P2O5-0166</t>
  </si>
  <si>
    <t>P2O5-0167</t>
  </si>
  <si>
    <t>P2O5-0168</t>
  </si>
  <si>
    <t>P2O5-0169</t>
  </si>
  <si>
    <t>P2O5-0170</t>
  </si>
  <si>
    <t>P2O5-0171</t>
  </si>
  <si>
    <t>P2O5-0172</t>
  </si>
  <si>
    <t>P2O5-0173</t>
  </si>
  <si>
    <t>P2O5-0174</t>
  </si>
  <si>
    <t>P2O5-0175</t>
  </si>
  <si>
    <t>P2O5-0176</t>
  </si>
  <si>
    <t>P2O5-0177</t>
  </si>
  <si>
    <t>P2O5-0178</t>
  </si>
  <si>
    <t>P2O5-0179</t>
  </si>
  <si>
    <t>P2O5-0180</t>
  </si>
  <si>
    <t>P2O5-0181</t>
  </si>
  <si>
    <t>P2O5-0182</t>
  </si>
  <si>
    <t>P2O5-0183</t>
  </si>
  <si>
    <t>P2O5-0184</t>
  </si>
  <si>
    <t>P2O5-0185</t>
  </si>
  <si>
    <t>P2O5-0186</t>
  </si>
  <si>
    <t>P2O5-0187</t>
  </si>
  <si>
    <t>P2O5-0188</t>
  </si>
  <si>
    <t>P2O5-0189</t>
  </si>
  <si>
    <t>P2O5-0190</t>
  </si>
  <si>
    <t>P2O5-0191</t>
  </si>
  <si>
    <t>P2O5-0192</t>
  </si>
  <si>
    <t>P2O5-0193</t>
  </si>
  <si>
    <t>P2O5-0194</t>
  </si>
  <si>
    <t>P2O5-0195</t>
  </si>
  <si>
    <t>P2O5-0196</t>
  </si>
  <si>
    <t>P2O5-0197</t>
  </si>
  <si>
    <t>P2O5-0198</t>
  </si>
  <si>
    <t>P2O5-0199</t>
  </si>
  <si>
    <t>P2O5-0200</t>
  </si>
  <si>
    <t>P2O5-0201</t>
  </si>
  <si>
    <t>P2O5-0202</t>
  </si>
  <si>
    <t>P2O5-0203</t>
  </si>
  <si>
    <t>P2O5-0204</t>
  </si>
  <si>
    <t>P2O5-0205</t>
  </si>
  <si>
    <t>P2O5-0206</t>
  </si>
  <si>
    <t>P2O5-0207</t>
  </si>
  <si>
    <t>P2O5-0208</t>
  </si>
  <si>
    <t>P2O5-0209</t>
  </si>
  <si>
    <t>P2O5-0210</t>
  </si>
  <si>
    <t>P2O5-0211</t>
  </si>
  <si>
    <t>P2O5-0212</t>
  </si>
  <si>
    <t>P2O5-0213</t>
  </si>
  <si>
    <t>P2O5-0214</t>
  </si>
  <si>
    <t>P2O5-0215</t>
  </si>
  <si>
    <t>P2O5-0216</t>
  </si>
  <si>
    <t>P2O5-0217</t>
  </si>
  <si>
    <t>P2O5-0218</t>
  </si>
  <si>
    <t>P2O5-0219</t>
  </si>
  <si>
    <t>P2O5-0220</t>
  </si>
  <si>
    <t>P2O5-0221</t>
  </si>
  <si>
    <t>P2O5-0222</t>
  </si>
  <si>
    <t>P2O5-0223</t>
  </si>
  <si>
    <t>P2O5-0224</t>
  </si>
  <si>
    <t>P2O5-0225</t>
  </si>
  <si>
    <t>P2O5-0226</t>
  </si>
  <si>
    <t>P2O5-0227</t>
  </si>
  <si>
    <t>P2O5-0228</t>
  </si>
  <si>
    <t>P2O5-0229</t>
  </si>
  <si>
    <t>P2O5-0230</t>
  </si>
  <si>
    <t>P2O5-0231</t>
  </si>
  <si>
    <t>P2O5-0232</t>
  </si>
  <si>
    <t>P2O5-0233</t>
  </si>
  <si>
    <t>P2O5-0234</t>
  </si>
  <si>
    <t>P2O5-0235</t>
  </si>
  <si>
    <t>P2O5-0236</t>
  </si>
  <si>
    <t>P2O5-0237</t>
  </si>
  <si>
    <t>P2O5-0238</t>
  </si>
  <si>
    <t>P2O5-0239</t>
  </si>
  <si>
    <t>P2O5-0240</t>
  </si>
  <si>
    <t>P2O5-0241</t>
  </si>
  <si>
    <t>P2O5-0242</t>
  </si>
  <si>
    <t>P2O5-0243</t>
  </si>
  <si>
    <t>P2O5-0244</t>
  </si>
  <si>
    <t>P2O5-0245</t>
  </si>
  <si>
    <t>P2O5-0246</t>
  </si>
  <si>
    <t>P2O5-0247</t>
  </si>
  <si>
    <t>P2O5-0248</t>
  </si>
  <si>
    <t>P2O5-0249</t>
  </si>
  <si>
    <t>P2O5-0250</t>
  </si>
  <si>
    <t>P2O5-0251</t>
  </si>
  <si>
    <t>P2O5-0252</t>
  </si>
  <si>
    <t>P2O5-0253</t>
  </si>
  <si>
    <t>P2O5-0254</t>
  </si>
  <si>
    <t>P2O5-0255</t>
  </si>
  <si>
    <t>P2O5-0256</t>
  </si>
  <si>
    <t>P2O5-0257</t>
  </si>
  <si>
    <t>P2O5-0258</t>
  </si>
  <si>
    <t>P2O5-0259</t>
  </si>
  <si>
    <t>P2O5-0260</t>
  </si>
  <si>
    <t>P2O5-0261</t>
  </si>
  <si>
    <t>P2O5-0262</t>
  </si>
  <si>
    <t>P2O5-0263</t>
  </si>
  <si>
    <t>P2O5-0264</t>
  </si>
  <si>
    <t>P2O5-0265</t>
  </si>
  <si>
    <t>P2O5-0266</t>
  </si>
  <si>
    <t>P2O5-0267</t>
  </si>
  <si>
    <t>P2O5-0268</t>
  </si>
  <si>
    <t>P2O5-0269</t>
  </si>
  <si>
    <t>P2O5-0270</t>
  </si>
  <si>
    <t>P2O5-0271</t>
  </si>
  <si>
    <t>P2O5-0272</t>
  </si>
  <si>
    <t>P2O5-0273</t>
  </si>
  <si>
    <t>P2O5-0274</t>
  </si>
  <si>
    <t>P2O5-0275</t>
  </si>
  <si>
    <t>P2O5-0276</t>
  </si>
  <si>
    <t>P2O5-0277</t>
  </si>
  <si>
    <t>P2O5-0278</t>
  </si>
  <si>
    <t>P2O5-0279</t>
  </si>
  <si>
    <t>P2O5-0280</t>
  </si>
  <si>
    <t>P2O5-0281</t>
  </si>
  <si>
    <t>P2O5-0282</t>
  </si>
  <si>
    <t>P2O5-0283</t>
  </si>
  <si>
    <t>P2O5-0284</t>
  </si>
  <si>
    <t>P2O5-0285</t>
  </si>
  <si>
    <t>P2O5-0286</t>
  </si>
  <si>
    <t>P2O5-0287</t>
  </si>
  <si>
    <t>P2O5-0288</t>
  </si>
  <si>
    <t>P2O5-0289</t>
  </si>
  <si>
    <t>P2O5-0290</t>
  </si>
  <si>
    <t>P2O5-0291</t>
  </si>
  <si>
    <t>P2O5-0292</t>
  </si>
  <si>
    <t>P2O5-0293</t>
  </si>
  <si>
    <t>P2O5-0294</t>
  </si>
  <si>
    <t>P2O5-0295</t>
  </si>
  <si>
    <t>P2O5-0296</t>
  </si>
  <si>
    <t>P2O5-0297</t>
  </si>
  <si>
    <t>P2O5-0298</t>
  </si>
  <si>
    <t>P2O5-0299</t>
  </si>
  <si>
    <t>P2O5-0300</t>
  </si>
  <si>
    <t>P2O5-0301</t>
  </si>
  <si>
    <t>P2O5-0302</t>
  </si>
  <si>
    <t>P2O5-0303</t>
  </si>
  <si>
    <t>P2O5-0304</t>
  </si>
  <si>
    <t>P2O5-0305</t>
  </si>
  <si>
    <t>P2O5-0306</t>
  </si>
  <si>
    <t>P2O5-0307</t>
  </si>
  <si>
    <t>P2O5-0308</t>
  </si>
  <si>
    <t>P2O5-0309</t>
  </si>
  <si>
    <t>P2O5-0310</t>
  </si>
  <si>
    <t>P2O5-0311</t>
  </si>
  <si>
    <t>P2O5-0312</t>
  </si>
  <si>
    <t>P2O5-0313</t>
  </si>
  <si>
    <t>P2O5-0314</t>
  </si>
  <si>
    <t>P2O5-0315</t>
  </si>
  <si>
    <t>P2O5-0316</t>
  </si>
  <si>
    <t>P2O5-0317</t>
  </si>
  <si>
    <t>P2O5-0318</t>
  </si>
  <si>
    <t>P2O5-0319</t>
  </si>
  <si>
    <t>P2O5-0320</t>
  </si>
  <si>
    <t>P2O5-0321</t>
  </si>
  <si>
    <t>P2O5-0322</t>
  </si>
  <si>
    <t>P2O5-0323</t>
  </si>
  <si>
    <t>P2O5-0324</t>
  </si>
  <si>
    <t>P2O5-0325</t>
  </si>
  <si>
    <t>P2O5-0326</t>
  </si>
  <si>
    <t>P2O5-0327</t>
  </si>
  <si>
    <t>P2O5-0328</t>
  </si>
  <si>
    <t>P2O5-0329</t>
  </si>
  <si>
    <t>P2O5-0330</t>
  </si>
  <si>
    <t>P2O5-0331</t>
  </si>
  <si>
    <t>P2O5-0332</t>
  </si>
  <si>
    <t>P2O5-0333</t>
  </si>
  <si>
    <t>P2O5-0334</t>
  </si>
  <si>
    <t>P2O5-0335</t>
  </si>
  <si>
    <t>P2O5-0336</t>
  </si>
  <si>
    <t>P2O5-0337</t>
  </si>
  <si>
    <t>P2O5-0338</t>
  </si>
  <si>
    <t>P2O5-0339</t>
  </si>
  <si>
    <t>P2O5-0340</t>
  </si>
  <si>
    <t>P2O5-0341</t>
  </si>
  <si>
    <t>P2O5-0342</t>
  </si>
  <si>
    <t>P2O5-0343</t>
  </si>
  <si>
    <t>P2O5-0344</t>
  </si>
  <si>
    <t>P2O5-0345</t>
  </si>
  <si>
    <t>P2O5-0346</t>
  </si>
  <si>
    <t>P2O5-0347</t>
  </si>
  <si>
    <t>P2O5-0348</t>
  </si>
  <si>
    <t>P2O5-0349</t>
  </si>
  <si>
    <t>P2O5-0350</t>
  </si>
  <si>
    <t>P2O5-0351</t>
  </si>
  <si>
    <t>P2O5-0352</t>
  </si>
  <si>
    <t>P2O5-0353</t>
  </si>
  <si>
    <t>P2O5-0354</t>
  </si>
  <si>
    <t>P2O5-0355</t>
  </si>
  <si>
    <t>P2O5-0356</t>
  </si>
  <si>
    <t>P2O5-0357</t>
  </si>
  <si>
    <t>P2O5-0358</t>
  </si>
  <si>
    <t>P2O5-0359</t>
  </si>
  <si>
    <t>P2O5-0360</t>
  </si>
  <si>
    <t>P2O5-0361</t>
  </si>
  <si>
    <t>P2O5-0362</t>
  </si>
  <si>
    <t>P2O5-0363</t>
  </si>
  <si>
    <t>P2O5-0364</t>
  </si>
  <si>
    <t>P2O5-0365</t>
  </si>
  <si>
    <t>P2O5-0366</t>
  </si>
  <si>
    <t>P2O5-0367</t>
  </si>
  <si>
    <t>P2O5-0368</t>
  </si>
  <si>
    <t>P2O5-0369</t>
  </si>
  <si>
    <t>P2O5-0370</t>
  </si>
  <si>
    <t>P2O5-0371</t>
  </si>
  <si>
    <t>P2O5-0372</t>
  </si>
  <si>
    <t>P2O5-0373</t>
  </si>
  <si>
    <t>P2O5-0374</t>
  </si>
  <si>
    <t>P2O5-0375</t>
  </si>
  <si>
    <t>P2O5-0376</t>
  </si>
  <si>
    <t>P2O5-0377</t>
  </si>
  <si>
    <t>P2O5-0378</t>
  </si>
  <si>
    <t>P2O5-0379</t>
  </si>
  <si>
    <t>P2O5-0380</t>
  </si>
  <si>
    <t>P2O5-0381</t>
  </si>
  <si>
    <t>P2O5-0382</t>
  </si>
  <si>
    <t>P2O5-0383</t>
  </si>
  <si>
    <t>P2O5-0384</t>
  </si>
  <si>
    <t>P2O5-0385</t>
  </si>
  <si>
    <t>P2O5-0386</t>
  </si>
  <si>
    <t>P2O5-0387</t>
  </si>
  <si>
    <t>P2O5-0388</t>
  </si>
  <si>
    <t>P2O5-0389</t>
  </si>
  <si>
    <t>P2O5-0390</t>
  </si>
  <si>
    <t>P2O5-0391</t>
  </si>
  <si>
    <t>P2O5-0392</t>
  </si>
  <si>
    <t>P2O5-0393</t>
  </si>
  <si>
    <t>P2O5-0394</t>
  </si>
  <si>
    <t>P2O5-0395</t>
  </si>
  <si>
    <t>P2O5-0396</t>
  </si>
  <si>
    <t>P2O5-0397</t>
  </si>
  <si>
    <t>P2O5-0398</t>
  </si>
  <si>
    <t>P2O5-0399</t>
  </si>
  <si>
    <t>P2O5-0400</t>
  </si>
  <si>
    <t>P2O5-0401</t>
  </si>
  <si>
    <t>P2O5-0402</t>
  </si>
  <si>
    <t>P2O5-0403</t>
  </si>
  <si>
    <t>P2O5-0404</t>
  </si>
  <si>
    <t>P2O5-0405</t>
  </si>
  <si>
    <t>P2O5-0406</t>
  </si>
  <si>
    <t>P2O5-0407</t>
  </si>
  <si>
    <t>P2O5-0408</t>
  </si>
  <si>
    <t>P2O5-0409</t>
  </si>
  <si>
    <t>P2O5-0410</t>
  </si>
  <si>
    <t>P2O5-0411</t>
  </si>
  <si>
    <t>P2O5-0412</t>
  </si>
  <si>
    <t>P2O5-0413</t>
  </si>
  <si>
    <t>P2O5-0414</t>
  </si>
  <si>
    <t>P2O5-0415</t>
  </si>
  <si>
    <t>P2O5-0416</t>
  </si>
  <si>
    <t>P2O5-0417</t>
  </si>
  <si>
    <t>P2O5-0418</t>
  </si>
  <si>
    <t>P2O5-0419</t>
  </si>
  <si>
    <t>P2O5-0420</t>
  </si>
  <si>
    <t>P2O5-0421</t>
  </si>
  <si>
    <t>P2O5-0422</t>
  </si>
  <si>
    <t>P2O5-0423</t>
  </si>
  <si>
    <t>P2O5-0424</t>
  </si>
  <si>
    <t>P2O5-0425</t>
  </si>
  <si>
    <t>P2O5-0426</t>
  </si>
  <si>
    <t>P2O5-0427</t>
  </si>
  <si>
    <t>P2O5-0428</t>
  </si>
  <si>
    <t>P2O5-0429</t>
  </si>
  <si>
    <t>P2O5-0430</t>
  </si>
  <si>
    <t>P2O5-0431</t>
  </si>
  <si>
    <t>P2O5-0432</t>
  </si>
  <si>
    <t>P2O5-0433</t>
  </si>
  <si>
    <t>P2O5-0434</t>
  </si>
  <si>
    <t>P2O5-0435</t>
  </si>
  <si>
    <t>P2O5-0436</t>
  </si>
  <si>
    <t>P2O5-0437</t>
  </si>
  <si>
    <t>P2O5-0438</t>
  </si>
  <si>
    <t>P2O5-0439</t>
  </si>
  <si>
    <t>P2O5-0440</t>
  </si>
  <si>
    <t>P2O5-0441</t>
  </si>
  <si>
    <t>P2O5-0442</t>
  </si>
  <si>
    <t>P2O5-0443</t>
  </si>
  <si>
    <t>P2O5-0444</t>
  </si>
  <si>
    <t>P2O5-0445</t>
  </si>
  <si>
    <t>P2O5-0446</t>
  </si>
  <si>
    <t>P2O5-0447</t>
  </si>
  <si>
    <t>P2O5-0448</t>
  </si>
  <si>
    <t>P2O5-0449</t>
  </si>
  <si>
    <t>P2O5-0450</t>
  </si>
  <si>
    <t>P2O5-0451</t>
  </si>
  <si>
    <t>P2O5-0452</t>
  </si>
  <si>
    <t>P2O5-0453</t>
  </si>
  <si>
    <t>P2O5-0454</t>
  </si>
  <si>
    <t>P2O5-0455</t>
  </si>
  <si>
    <t>P2O5-0456</t>
  </si>
  <si>
    <t>P2O5-0457</t>
  </si>
  <si>
    <t>P2O5-0458</t>
  </si>
  <si>
    <t>P2O5-0459</t>
  </si>
  <si>
    <t>P2O5-0460</t>
  </si>
  <si>
    <t>P2O5-0461</t>
  </si>
  <si>
    <t>P2O5-0462</t>
  </si>
  <si>
    <t>P2O5-0463</t>
  </si>
  <si>
    <t>P2O5-0464</t>
  </si>
  <si>
    <t>P2O5-0465</t>
  </si>
  <si>
    <t>P2O5-0466</t>
  </si>
  <si>
    <t>P2O5-0467</t>
  </si>
  <si>
    <t>P2O5-0468</t>
  </si>
  <si>
    <t>P2O5-0469</t>
  </si>
  <si>
    <t>P2O5-0470</t>
  </si>
  <si>
    <t>P2O5-0471</t>
  </si>
  <si>
    <t>P2O5-0472</t>
  </si>
  <si>
    <t>P2O5-0473</t>
  </si>
  <si>
    <t>P2O5-0474</t>
  </si>
  <si>
    <t>P2O5-0475</t>
  </si>
  <si>
    <t>P2O5-0476</t>
  </si>
  <si>
    <t>P2O5-0477</t>
  </si>
  <si>
    <t>P2O5-0478</t>
  </si>
  <si>
    <t>P2O5-0479</t>
  </si>
  <si>
    <t>P2O5-0480</t>
  </si>
  <si>
    <t>P2O5-0481</t>
  </si>
  <si>
    <t>P2O5-0482</t>
  </si>
  <si>
    <t>P2O5-0483</t>
  </si>
  <si>
    <t>P2O5-0484</t>
  </si>
  <si>
    <t>P2O5-0485</t>
  </si>
  <si>
    <t>P2O5-0486</t>
  </si>
  <si>
    <t>P2O5-0487</t>
  </si>
  <si>
    <t>P2O5-0488</t>
  </si>
  <si>
    <t>P2O5-0489</t>
  </si>
  <si>
    <t>P2O5-0490</t>
  </si>
  <si>
    <t>P2O5-0491</t>
  </si>
  <si>
    <t>P2O5-0492</t>
  </si>
  <si>
    <t>P2O5-0493</t>
  </si>
  <si>
    <t>P2O5-0494</t>
  </si>
  <si>
    <t>P2O5-0495</t>
  </si>
  <si>
    <t>P2O5-0496</t>
  </si>
  <si>
    <t>P2O5-0497</t>
  </si>
  <si>
    <t>P2O5-0498</t>
  </si>
  <si>
    <t>P2O5-0499</t>
  </si>
  <si>
    <t>P2O5-0500</t>
  </si>
  <si>
    <t>P2O5-0501</t>
  </si>
  <si>
    <t>P2O5-0502</t>
  </si>
  <si>
    <t>P2O5-0503</t>
  </si>
  <si>
    <t>P2O5-0504</t>
  </si>
  <si>
    <t>P2O5-0505</t>
  </si>
  <si>
    <t>P2O5-0506</t>
  </si>
  <si>
    <t>P2O5-0507</t>
  </si>
  <si>
    <t>P2O5-0508</t>
  </si>
  <si>
    <t>P2O5-0509</t>
  </si>
  <si>
    <t>P2O5-0510</t>
  </si>
  <si>
    <t>P2O5-0511</t>
  </si>
  <si>
    <t>P2O5-0512</t>
  </si>
  <si>
    <t>P2O5-0513</t>
  </si>
  <si>
    <t>P2O5-0514</t>
  </si>
  <si>
    <t>P2O5-0515</t>
  </si>
  <si>
    <t>P2O5-0516</t>
  </si>
  <si>
    <t>P2O5-0517</t>
  </si>
  <si>
    <t>P2O5-0518</t>
  </si>
  <si>
    <t>P2O5-0519</t>
  </si>
  <si>
    <t>P2O5-0520</t>
  </si>
  <si>
    <t>P2O5-0521</t>
  </si>
  <si>
    <t>P2O5-0522</t>
  </si>
  <si>
    <t>P2O5-0523</t>
  </si>
  <si>
    <t>P2O5-0524</t>
  </si>
  <si>
    <t>P2O5-0525</t>
  </si>
  <si>
    <t>P2O5-0526</t>
  </si>
  <si>
    <t>P2O5-0527</t>
  </si>
  <si>
    <t>P2O5-0528</t>
  </si>
  <si>
    <t>P2O5-0529</t>
  </si>
  <si>
    <t>P2O5-0530</t>
  </si>
  <si>
    <t>P2O5-0531</t>
  </si>
  <si>
    <t>P2O5-0532</t>
  </si>
  <si>
    <t>P2O5-0533</t>
  </si>
  <si>
    <t>P2O5-0534</t>
  </si>
  <si>
    <t>P2O5-0535</t>
  </si>
  <si>
    <t>P2O5-0536</t>
  </si>
  <si>
    <t>P2O5-0537</t>
  </si>
  <si>
    <t>P2O5-0538</t>
  </si>
  <si>
    <t>P2O5-0539</t>
  </si>
  <si>
    <t>P2O5-0540</t>
  </si>
  <si>
    <t>P2O5-0541</t>
  </si>
  <si>
    <t>P2O5-0542</t>
  </si>
  <si>
    <t>P2O5-0543</t>
  </si>
  <si>
    <t>P2O5-0544</t>
  </si>
  <si>
    <t>P2O5-0545</t>
  </si>
  <si>
    <t>P2O5-0546</t>
  </si>
  <si>
    <t>P2O5-0547</t>
  </si>
  <si>
    <t>P2O5-0548</t>
  </si>
  <si>
    <t>P2O5-0549</t>
  </si>
  <si>
    <t>P2O5-0550</t>
  </si>
  <si>
    <t>P2O5-0551</t>
  </si>
  <si>
    <t>P2O5-0552</t>
  </si>
  <si>
    <t>P2O5-0553</t>
  </si>
  <si>
    <t>P2O5-0554</t>
  </si>
  <si>
    <t>P2O5-0555</t>
  </si>
  <si>
    <t>P2O5-0556</t>
  </si>
  <si>
    <t>P2O5-0557</t>
  </si>
  <si>
    <t>P2O5-0558</t>
  </si>
  <si>
    <t>P2O5-0559</t>
  </si>
  <si>
    <t>P2O5-0560</t>
  </si>
  <si>
    <t>P2O5-0561</t>
  </si>
  <si>
    <t>P2O5-0562</t>
  </si>
  <si>
    <t>P2O5-0563</t>
  </si>
  <si>
    <t>P2O5-0564</t>
  </si>
  <si>
    <t>P2O5-0565</t>
  </si>
  <si>
    <t>P2O5-0566</t>
  </si>
  <si>
    <t>P2O5-0567</t>
  </si>
  <si>
    <t>P2O5-0568</t>
  </si>
  <si>
    <t>P2O5-0569</t>
  </si>
  <si>
    <t>P2O5-0570</t>
  </si>
  <si>
    <t>P2O5-0571</t>
  </si>
  <si>
    <t>P2O5-0572</t>
  </si>
  <si>
    <t>P2O5-0573</t>
  </si>
  <si>
    <t>P2O5-0574</t>
  </si>
  <si>
    <t>P2O5-0575</t>
  </si>
  <si>
    <t>P2O5-0576</t>
  </si>
  <si>
    <t>P2O5-0577</t>
  </si>
  <si>
    <t>P2O5-0578</t>
  </si>
  <si>
    <t>P2O5-0579</t>
  </si>
  <si>
    <t>P2O5-0580</t>
  </si>
  <si>
    <t>P2O5-0581</t>
  </si>
  <si>
    <t>P2O5-0582</t>
  </si>
  <si>
    <t>P2O5-0583</t>
  </si>
  <si>
    <t>P2O5-0584</t>
  </si>
  <si>
    <t>P2O5-0585</t>
  </si>
  <si>
    <t>P2O5-0586</t>
  </si>
  <si>
    <t>P2O5-0587</t>
  </si>
  <si>
    <t>P2O5-0588</t>
  </si>
  <si>
    <t>P2O5-0589</t>
  </si>
  <si>
    <t>P2O5-0590</t>
  </si>
  <si>
    <t>P2O5-0591</t>
  </si>
  <si>
    <t>P2O5-0592</t>
  </si>
  <si>
    <t>P2O5-0593</t>
  </si>
  <si>
    <t>P2O5-0594</t>
  </si>
  <si>
    <t>P2O5-0595</t>
  </si>
  <si>
    <t>P2O5-0596</t>
  </si>
  <si>
    <t>P2O5-0597</t>
  </si>
  <si>
    <t>P2O5-0598</t>
  </si>
  <si>
    <t>P2O5-0599</t>
  </si>
  <si>
    <t>P2O5-0600</t>
  </si>
  <si>
    <t>P2O5-0601</t>
  </si>
  <si>
    <t>P2O5-0602</t>
  </si>
  <si>
    <t>P2O5-0603</t>
  </si>
  <si>
    <t>P2O5-0604</t>
  </si>
  <si>
    <t>P2O5-0605</t>
  </si>
  <si>
    <t>P2O5-0606</t>
  </si>
  <si>
    <t>P2O5-0607</t>
  </si>
  <si>
    <t>P2O5-0608</t>
  </si>
  <si>
    <t>P2O5-0609</t>
  </si>
  <si>
    <t>P2O5-0610</t>
  </si>
  <si>
    <t>P2O5-0611</t>
  </si>
  <si>
    <t>P2O5-0612</t>
  </si>
  <si>
    <t>P2O5-0613</t>
  </si>
  <si>
    <t>P2O5-0614</t>
  </si>
  <si>
    <t>P2O5-0615</t>
  </si>
  <si>
    <t>P2O5-0616</t>
  </si>
  <si>
    <t>P2O5-0617</t>
  </si>
  <si>
    <t>P2O5-0618</t>
  </si>
  <si>
    <t>P2O5-0619</t>
  </si>
  <si>
    <t>P2O5-0620</t>
  </si>
  <si>
    <t>P2O5-0621</t>
  </si>
  <si>
    <t>P2O5-0622</t>
  </si>
  <si>
    <t>P2O5-0623</t>
  </si>
  <si>
    <t>P2O5-0624</t>
  </si>
  <si>
    <t>P2O5-0625</t>
  </si>
  <si>
    <t>P2O5-0626</t>
  </si>
  <si>
    <t>P2O5-0627</t>
  </si>
  <si>
    <t>P2O5-0628</t>
  </si>
  <si>
    <t>P2O5-0629</t>
  </si>
  <si>
    <t>P2O5-0630</t>
  </si>
  <si>
    <t>P2O5-0631</t>
  </si>
  <si>
    <t>P2O5-0632</t>
  </si>
  <si>
    <t>P2O5-0633</t>
  </si>
  <si>
    <t>P2O5-0634</t>
  </si>
  <si>
    <t>P2O5-0635</t>
  </si>
  <si>
    <t>P2O5-0636</t>
  </si>
  <si>
    <t>P2O5-0637</t>
  </si>
  <si>
    <t>P2O5-0638</t>
  </si>
  <si>
    <t>P2O5-0639</t>
  </si>
  <si>
    <t>P2O5-0640</t>
  </si>
  <si>
    <t>P2O5-0641</t>
  </si>
  <si>
    <t>P2O5-0642</t>
  </si>
  <si>
    <t>P2O5-0643</t>
  </si>
  <si>
    <t>P2O5-0644</t>
  </si>
  <si>
    <t>P2O5-0645</t>
  </si>
  <si>
    <t>P2O5-0646</t>
  </si>
  <si>
    <t>P2O5-0647</t>
  </si>
  <si>
    <t>P2O5-0648</t>
  </si>
  <si>
    <t>P2O5-0649</t>
  </si>
  <si>
    <t>P2O5-0650</t>
  </si>
  <si>
    <t>P2O5-0651</t>
  </si>
  <si>
    <t>P2O5-0652</t>
  </si>
  <si>
    <t>P2O5-0653</t>
  </si>
  <si>
    <t>P2O5-0654</t>
  </si>
  <si>
    <t>P2O5-0655</t>
  </si>
  <si>
    <t>P2O5-0656</t>
  </si>
  <si>
    <t>P2O5-0657</t>
  </si>
  <si>
    <t>P2O5-0658</t>
  </si>
  <si>
    <t>P2O5-0659</t>
  </si>
  <si>
    <t>P2O5-0660</t>
  </si>
  <si>
    <t>P2O5-0661</t>
  </si>
  <si>
    <t>P2O5-0662</t>
  </si>
  <si>
    <t>P2O5-0663</t>
  </si>
  <si>
    <t>P2O5-0664</t>
  </si>
  <si>
    <t>P2O5-0665</t>
  </si>
  <si>
    <t>P2O5-0666</t>
  </si>
  <si>
    <t>P2O5-0667</t>
  </si>
  <si>
    <t>P2O5-0668</t>
  </si>
  <si>
    <t>P2O5-0669</t>
  </si>
  <si>
    <t>P2O5-0670</t>
  </si>
  <si>
    <t>P2O5-0671</t>
  </si>
  <si>
    <t>P2O5-0672</t>
  </si>
  <si>
    <t>P2O5-0673</t>
  </si>
  <si>
    <t>P2O5-0674</t>
  </si>
  <si>
    <t>P2O5-0675</t>
  </si>
  <si>
    <t>P2O5-0676</t>
  </si>
  <si>
    <t>P2O5-0677</t>
  </si>
  <si>
    <t>P2O5-0678</t>
  </si>
  <si>
    <t>P2O5-0679</t>
  </si>
  <si>
    <t>P2O5-0680</t>
  </si>
  <si>
    <t>P2O5-0681</t>
  </si>
  <si>
    <t>P2O5-0682</t>
  </si>
  <si>
    <t>P2O5-0683</t>
  </si>
  <si>
    <t>P2O5-0684</t>
  </si>
  <si>
    <t>P2O5-0685</t>
  </si>
  <si>
    <t>P2O5-0686</t>
  </si>
  <si>
    <t>P2O5-0687</t>
  </si>
  <si>
    <t>P2O5-0688</t>
  </si>
  <si>
    <t>P2O5-0689</t>
  </si>
  <si>
    <t>P2O5-0690</t>
  </si>
  <si>
    <t>P2O5-0691</t>
  </si>
  <si>
    <t>P2O5-0692</t>
  </si>
  <si>
    <t>P2O5-0693</t>
  </si>
  <si>
    <t>P2O5-0694</t>
  </si>
  <si>
    <t>P2O5-0695</t>
  </si>
  <si>
    <t>P2O5-0696</t>
  </si>
  <si>
    <t>P2O5-0697</t>
  </si>
  <si>
    <t>P2O5-0698</t>
  </si>
  <si>
    <t>P2O5-0699</t>
  </si>
  <si>
    <t>P2O5-0700</t>
  </si>
  <si>
    <t>P2O5-0701</t>
  </si>
  <si>
    <t>P2O5-0702</t>
  </si>
  <si>
    <t>P2O5-0703</t>
  </si>
  <si>
    <t>P2O5-0704</t>
  </si>
  <si>
    <t>P2O5-0705</t>
  </si>
  <si>
    <t>P2O5-0706</t>
  </si>
  <si>
    <t>P2O5-0707</t>
  </si>
  <si>
    <t>P2O5-0708</t>
  </si>
  <si>
    <t>P2O5-0709</t>
  </si>
  <si>
    <t>P2O5-0710</t>
  </si>
  <si>
    <t>P2O5-0711</t>
  </si>
  <si>
    <t>P2O5-0712</t>
  </si>
  <si>
    <t>P2O5-0713</t>
  </si>
  <si>
    <t>P2O5-0714</t>
  </si>
  <si>
    <t>P2O5-0715</t>
  </si>
  <si>
    <t>P2O5-0716</t>
  </si>
  <si>
    <t>P2O5-0717</t>
  </si>
  <si>
    <t>P2O5-0718</t>
  </si>
  <si>
    <t>P2O5-0719</t>
  </si>
  <si>
    <t>P2O5-0720</t>
  </si>
  <si>
    <t>P2O5-0721</t>
  </si>
  <si>
    <t>P2O5-0722</t>
  </si>
  <si>
    <t>P2O5-0723</t>
  </si>
  <si>
    <t>P2O5-0724</t>
  </si>
  <si>
    <t>P2O5-0725</t>
  </si>
  <si>
    <t>P2O5-0726</t>
  </si>
  <si>
    <t>P2O5-0727</t>
  </si>
  <si>
    <t>P2O5-0728</t>
  </si>
  <si>
    <t>P2O5-0729</t>
  </si>
  <si>
    <t>P2O5-0730</t>
  </si>
  <si>
    <t>P2O5-0731</t>
  </si>
  <si>
    <t>P2O5-0732</t>
  </si>
  <si>
    <t>P2O5-0733</t>
  </si>
  <si>
    <t>P2O5-0734</t>
  </si>
  <si>
    <t>P2O5-0735</t>
  </si>
  <si>
    <t>P2O5-0736</t>
  </si>
  <si>
    <t>P2O5-0737</t>
  </si>
  <si>
    <t>P2O5-0738</t>
  </si>
  <si>
    <t>P2O5-0739</t>
  </si>
  <si>
    <t>P2O5-0740</t>
  </si>
  <si>
    <t>P2O5-0741</t>
  </si>
  <si>
    <t>P2O5-0742</t>
  </si>
  <si>
    <t>P2O5-0743</t>
  </si>
  <si>
    <t>P2O5-0744</t>
  </si>
  <si>
    <t>P2O5-0745</t>
  </si>
  <si>
    <t>P2O5-0746</t>
  </si>
  <si>
    <t>P2O5-0747</t>
  </si>
  <si>
    <t>P2O5-0748</t>
  </si>
  <si>
    <t>P2O5-0749</t>
  </si>
  <si>
    <t>P2O5-0750</t>
  </si>
  <si>
    <t>P2O5-0751</t>
  </si>
  <si>
    <t>P2O5-0752</t>
  </si>
  <si>
    <t>P2O5-0753</t>
  </si>
  <si>
    <t>P2O5-0754</t>
  </si>
  <si>
    <t>P2O5-0755</t>
  </si>
  <si>
    <t>P2O5-0756</t>
  </si>
  <si>
    <t>P2O5-0757</t>
  </si>
  <si>
    <t>P2O5-0758</t>
  </si>
  <si>
    <t>P2O5-0759</t>
  </si>
  <si>
    <t>P2O5-0760</t>
  </si>
  <si>
    <t>P2O5-0761</t>
  </si>
  <si>
    <t>P2O5-0762</t>
  </si>
  <si>
    <t>P2O5-0763</t>
  </si>
  <si>
    <t>P2O5-0764</t>
  </si>
  <si>
    <t>P2O5-0765</t>
  </si>
  <si>
    <t>P2O5-0766</t>
  </si>
  <si>
    <t>P2O5-0767</t>
  </si>
  <si>
    <t>P2O5-0768</t>
  </si>
  <si>
    <t>P2O5-0769</t>
  </si>
  <si>
    <t>P2O5-0770</t>
  </si>
  <si>
    <t>P2O5-0771</t>
  </si>
  <si>
    <t>P2O5-0772</t>
  </si>
  <si>
    <t>P2O5-0773</t>
  </si>
  <si>
    <t>P2O5-0774</t>
  </si>
  <si>
    <t>P2O5-0775</t>
  </si>
  <si>
    <t>P2O5-0776</t>
  </si>
  <si>
    <t>P2O5-0777</t>
  </si>
  <si>
    <t>P2O5-0778</t>
  </si>
  <si>
    <t>P2O5-0779</t>
  </si>
  <si>
    <t>P2O5-0780</t>
  </si>
  <si>
    <t>P2O5-0781</t>
  </si>
  <si>
    <t>P2O5-0782</t>
  </si>
  <si>
    <t>P2O5-0783</t>
  </si>
  <si>
    <t>P2O5-0784</t>
  </si>
  <si>
    <t>P2O5-0785</t>
  </si>
  <si>
    <t>P2O5-0786</t>
  </si>
  <si>
    <t>P2O5-0787</t>
  </si>
  <si>
    <t>P2O5-0788</t>
  </si>
  <si>
    <t>P2O5-0789</t>
  </si>
  <si>
    <t>P2O5-0790</t>
  </si>
  <si>
    <t>P2O5-0791</t>
  </si>
  <si>
    <t>P2O5-0792</t>
  </si>
  <si>
    <t>P2O5-0793</t>
  </si>
  <si>
    <t>P2O5-0794</t>
  </si>
  <si>
    <t>P2O5-0795</t>
  </si>
  <si>
    <t>P2O5-0796</t>
  </si>
  <si>
    <t>P2O5-0797</t>
  </si>
  <si>
    <t>P2O5-0798</t>
  </si>
  <si>
    <t>P2O5-0799</t>
  </si>
  <si>
    <t>P2O5-0800</t>
  </si>
  <si>
    <t>P2O5-0801</t>
  </si>
  <si>
    <t>P2O5-0802</t>
  </si>
  <si>
    <t>P2O5-0803</t>
  </si>
  <si>
    <t>P2O5-0804</t>
  </si>
  <si>
    <t>P2O5-0805</t>
  </si>
  <si>
    <t>P2O5-0806</t>
  </si>
  <si>
    <t>P2O5-0807</t>
  </si>
  <si>
    <t>P2O5-0808</t>
  </si>
  <si>
    <t>P2O5-0809</t>
  </si>
  <si>
    <t>P2O5-0810</t>
  </si>
  <si>
    <t>P2O5-0811</t>
  </si>
  <si>
    <t>P2O5-0812</t>
  </si>
  <si>
    <t>P2O5-0813</t>
  </si>
  <si>
    <t>P2O5-0814</t>
  </si>
  <si>
    <t>P2O5-0815</t>
  </si>
  <si>
    <t>P2O5-0816</t>
  </si>
  <si>
    <t>P2O5-0817</t>
  </si>
  <si>
    <t>P2O5-0818</t>
  </si>
  <si>
    <t>P2O5-0819</t>
  </si>
  <si>
    <t>P2O5-0820</t>
  </si>
  <si>
    <t>P2O5-0821</t>
  </si>
  <si>
    <t>P2O5-0822</t>
  </si>
  <si>
    <t>P2O5-0823</t>
  </si>
  <si>
    <t>P2O5-0824</t>
  </si>
  <si>
    <t>P2O5-0825</t>
  </si>
  <si>
    <t>P2O5-0826</t>
  </si>
  <si>
    <t>P2O5-0827</t>
  </si>
  <si>
    <t>P2O5-0828</t>
  </si>
  <si>
    <t>P2O5-0829</t>
  </si>
  <si>
    <t>P2O5-0830</t>
  </si>
  <si>
    <t>P2O5-0831</t>
  </si>
  <si>
    <t>P2O5-0832</t>
  </si>
  <si>
    <t>P2O5-0833</t>
  </si>
  <si>
    <t>P2O5-0834</t>
  </si>
  <si>
    <t>P2O5-0835</t>
  </si>
  <si>
    <t>P2O5-0836</t>
  </si>
  <si>
    <t>P2O5-0837</t>
  </si>
  <si>
    <t>P2O5-0838</t>
  </si>
  <si>
    <t>P2O5-0839</t>
  </si>
  <si>
    <t>P2O5-0840</t>
  </si>
  <si>
    <t>P2O5-0841</t>
  </si>
  <si>
    <t>P2O5-0842</t>
  </si>
  <si>
    <t>P2O5-0843</t>
  </si>
  <si>
    <t>P2O5-0844</t>
  </si>
  <si>
    <t>P2O5-0845</t>
  </si>
  <si>
    <t>P2O5-0846</t>
  </si>
  <si>
    <t>P2O5-0847</t>
  </si>
  <si>
    <t>P2O5-0848</t>
  </si>
  <si>
    <t>P2O5-0849</t>
  </si>
  <si>
    <t>P2O5-0850</t>
  </si>
  <si>
    <t>P2O5-0851</t>
  </si>
  <si>
    <t>P2O5-0852</t>
  </si>
  <si>
    <t>P2O5-0853</t>
  </si>
  <si>
    <t>P2O5-0854</t>
  </si>
  <si>
    <t>P2O5-0855</t>
  </si>
  <si>
    <t>P2O5-0856</t>
  </si>
  <si>
    <t>P2O5-0857</t>
  </si>
  <si>
    <t>P2O5-0858</t>
  </si>
  <si>
    <t>P2O5-0859</t>
  </si>
  <si>
    <t>P2O5-0860</t>
  </si>
  <si>
    <t>P2O5-0861</t>
  </si>
  <si>
    <t>P2O5-0862</t>
  </si>
  <si>
    <t>P2O5-0863</t>
  </si>
  <si>
    <t>P2O5-0864</t>
  </si>
  <si>
    <t>P2O5-0865</t>
  </si>
  <si>
    <t>P2O5-0866</t>
  </si>
  <si>
    <t>P2O5-0867</t>
  </si>
  <si>
    <t>P2O5-0868</t>
  </si>
  <si>
    <t>P2O5-0869</t>
  </si>
  <si>
    <t>P2O5-0870</t>
  </si>
  <si>
    <t>P2O5-0871</t>
  </si>
  <si>
    <t>P2O5-0872</t>
  </si>
  <si>
    <t>P2O5-0873</t>
  </si>
  <si>
    <t>P2O5-0874</t>
  </si>
  <si>
    <t>P2O5-0875</t>
  </si>
  <si>
    <t>P2O5-0876</t>
  </si>
  <si>
    <t>P2O5-0877</t>
  </si>
  <si>
    <t>P2O5-0878</t>
  </si>
  <si>
    <t>P2O5-0879</t>
  </si>
  <si>
    <t>P2O5-0880</t>
  </si>
  <si>
    <t>P2O5-0881</t>
  </si>
  <si>
    <t>P2O5-0882</t>
  </si>
  <si>
    <t>P2O5-0883</t>
  </si>
  <si>
    <t>P2O5-0884</t>
  </si>
  <si>
    <t>P2O5-0885</t>
  </si>
  <si>
    <t>P2O5-0886</t>
  </si>
  <si>
    <t>P2O5-0887</t>
  </si>
  <si>
    <t>P2O5-0888</t>
  </si>
  <si>
    <t>P2O5-0889</t>
  </si>
  <si>
    <t>P2O5-0890</t>
  </si>
  <si>
    <t>P2O5-0891</t>
  </si>
  <si>
    <t>P2O5-0892</t>
  </si>
  <si>
    <t>P2O5-0893</t>
  </si>
  <si>
    <t>P2O5-0894</t>
  </si>
  <si>
    <t>P2O5-0895</t>
  </si>
  <si>
    <t>P2O5-0896</t>
  </si>
  <si>
    <t>P2O5-0897</t>
  </si>
  <si>
    <t>P2O5-0898</t>
  </si>
  <si>
    <t>P2O5-0899</t>
  </si>
  <si>
    <t>P2O5-0900</t>
  </si>
  <si>
    <t>P2O5-0901</t>
  </si>
  <si>
    <t>P2O5-0902</t>
  </si>
  <si>
    <t>P2O5-0903</t>
  </si>
  <si>
    <t>P2O5-0904</t>
  </si>
  <si>
    <t>P2O5-0905</t>
  </si>
  <si>
    <t>P2O5-0906</t>
  </si>
  <si>
    <t>P2O5-0907</t>
  </si>
  <si>
    <t>P2O5-0908</t>
  </si>
  <si>
    <t>P2O5-0909</t>
  </si>
  <si>
    <t>P2O5-0910</t>
  </si>
  <si>
    <t>P2O5-0911</t>
  </si>
  <si>
    <t>P2O5-0912</t>
  </si>
  <si>
    <t>P2O5-0913</t>
  </si>
  <si>
    <t>P2O5-0914</t>
  </si>
  <si>
    <t>P2O5-0915</t>
  </si>
  <si>
    <t>P2O5-0916</t>
  </si>
  <si>
    <t>P2O5-0917</t>
  </si>
  <si>
    <t>P2O5-0918</t>
  </si>
  <si>
    <t>P2O5-0919</t>
  </si>
  <si>
    <t>P2O5-0920</t>
  </si>
  <si>
    <t>P2O5-0921</t>
  </si>
  <si>
    <t>P2O5-0922</t>
  </si>
  <si>
    <t>P2O5-0923</t>
  </si>
  <si>
    <t>P2O5-0924</t>
  </si>
  <si>
    <t>P2O5-0925</t>
  </si>
  <si>
    <t>P2O5-0926</t>
  </si>
  <si>
    <t>P2O5-0927</t>
  </si>
  <si>
    <t>P2O5-0928</t>
  </si>
  <si>
    <t>P2O5-0929</t>
  </si>
  <si>
    <t>P2O5-0930</t>
  </si>
  <si>
    <t>P2O5-0931</t>
  </si>
  <si>
    <t>P2O5-0932</t>
  </si>
  <si>
    <t>P2O5-0933</t>
  </si>
  <si>
    <t>P2O5-0934</t>
  </si>
  <si>
    <t>P2O5-0935</t>
  </si>
  <si>
    <t>P2O5-0936</t>
  </si>
  <si>
    <t>P2O5-0937</t>
  </si>
  <si>
    <t>P2O5-0938</t>
  </si>
  <si>
    <t>P2O5-0939</t>
  </si>
  <si>
    <t>P2O5-0940</t>
  </si>
  <si>
    <t>P2O5-0941</t>
  </si>
  <si>
    <t>P2O5-0942</t>
  </si>
  <si>
    <t>P2O5-0943</t>
  </si>
  <si>
    <t>P2O5-0944</t>
  </si>
  <si>
    <t>P2O5-0945</t>
  </si>
  <si>
    <t>P2O5-0946</t>
  </si>
  <si>
    <t>P2O5-0947</t>
  </si>
  <si>
    <t>P2O5-0948</t>
  </si>
  <si>
    <t>P2O5-0949</t>
  </si>
  <si>
    <t>P2O5-0950</t>
  </si>
  <si>
    <t>P2O5-0951</t>
  </si>
  <si>
    <t>P2O5-0952</t>
  </si>
  <si>
    <t>P2O5-0953</t>
  </si>
  <si>
    <t>P2O5-0954</t>
  </si>
  <si>
    <t>P2O5-0955</t>
  </si>
  <si>
    <t>P2O5-0956</t>
  </si>
  <si>
    <t>P2O5-0957</t>
  </si>
  <si>
    <t>P2O5-0958</t>
  </si>
  <si>
    <t>P2O5-0959</t>
  </si>
  <si>
    <t>P2O5-0960</t>
  </si>
  <si>
    <t>P2O5-0961</t>
  </si>
  <si>
    <t>P2O5-0962</t>
  </si>
  <si>
    <t>P2O5-0963</t>
  </si>
  <si>
    <t>P2O5-0964</t>
  </si>
  <si>
    <t>P2O5-0965</t>
  </si>
  <si>
    <t>P2O5-0966</t>
  </si>
  <si>
    <t>P2O5-0967</t>
  </si>
  <si>
    <t>P2O5-0968</t>
  </si>
  <si>
    <t>P2O5-0969</t>
  </si>
  <si>
    <t>P2O5-0970</t>
  </si>
  <si>
    <t>P2O5-0971</t>
  </si>
  <si>
    <t>P2O5-0972</t>
  </si>
  <si>
    <t>P2O5-0973</t>
  </si>
  <si>
    <t>P2O5-0974</t>
  </si>
  <si>
    <t>P2O5-0975</t>
  </si>
  <si>
    <t>P2O5-0976</t>
  </si>
  <si>
    <t>P2O5-0977</t>
  </si>
  <si>
    <t>P2O5-0978</t>
  </si>
  <si>
    <t>P2O5-0979</t>
  </si>
  <si>
    <t>P2O5-0980</t>
  </si>
  <si>
    <t>P2O5-0981</t>
  </si>
  <si>
    <t>P2O5-0982</t>
  </si>
  <si>
    <t>P2O5-0983</t>
  </si>
  <si>
    <t>P2O5-0984</t>
  </si>
  <si>
    <t>P2O5-0985</t>
  </si>
  <si>
    <t>P2O5-0986</t>
  </si>
  <si>
    <t>P2O5-0987</t>
  </si>
  <si>
    <t>P2O5-0988</t>
  </si>
  <si>
    <t>P2O5-0989</t>
  </si>
  <si>
    <t>P2O5-0990</t>
  </si>
  <si>
    <t>P2O5-0991</t>
  </si>
  <si>
    <t>P2O5-0992</t>
  </si>
  <si>
    <t>P2O5-0993</t>
  </si>
  <si>
    <t>P2O5-0994</t>
  </si>
  <si>
    <t>P2O5-0995</t>
  </si>
  <si>
    <t>P2O5-0996</t>
  </si>
  <si>
    <t>P2O5-0997</t>
  </si>
  <si>
    <t>P2O5-0998</t>
  </si>
  <si>
    <t>P2O5-0999</t>
  </si>
  <si>
    <t>P2O5-1000</t>
  </si>
  <si>
    <t>P2O5-1001</t>
  </si>
  <si>
    <t>P2O5-1002</t>
  </si>
  <si>
    <t>P2O5-1003</t>
  </si>
  <si>
    <t>P2O5-1004</t>
  </si>
  <si>
    <t>P2O5-1005</t>
  </si>
  <si>
    <t>P2O5-1006</t>
  </si>
  <si>
    <t>P2O5-1007</t>
  </si>
  <si>
    <t>P2O5-1008</t>
  </si>
  <si>
    <t>P2O5-1009</t>
  </si>
  <si>
    <t>P2O5-1010</t>
  </si>
  <si>
    <t>P2O5-1011</t>
  </si>
  <si>
    <t>P2O5-1012</t>
  </si>
  <si>
    <t>P2O5-1013</t>
  </si>
  <si>
    <t>P2O5-1014</t>
  </si>
  <si>
    <t>P2O5-1015</t>
  </si>
  <si>
    <t>P2O5-1016</t>
  </si>
  <si>
    <t>P2O5-1017</t>
  </si>
  <si>
    <t>P2O5-1018</t>
  </si>
  <si>
    <t>P2O5-1019</t>
  </si>
  <si>
    <t>P2O5-1020</t>
  </si>
  <si>
    <t>P2O5-1021</t>
  </si>
  <si>
    <t>P2O5-1022</t>
  </si>
  <si>
    <t>P2O5-1023</t>
  </si>
  <si>
    <t>P2O5-1024</t>
  </si>
  <si>
    <t>P2O5-1025</t>
  </si>
  <si>
    <t>P2O5-1026</t>
  </si>
  <si>
    <t>P2O5-1027</t>
  </si>
  <si>
    <t>P2O5-1028</t>
  </si>
  <si>
    <t>P2O5-1029</t>
  </si>
  <si>
    <t>P2O5-1030</t>
  </si>
  <si>
    <t>P2O5-1031</t>
  </si>
  <si>
    <t>P2O5-1032</t>
  </si>
  <si>
    <t>P2O5-1033</t>
  </si>
  <si>
    <t>P2O5-1034</t>
  </si>
  <si>
    <t>P2O5-1035</t>
  </si>
  <si>
    <t>P2O5-1036</t>
  </si>
  <si>
    <t>P2O5-1037</t>
  </si>
  <si>
    <t>P2O5-1038</t>
  </si>
  <si>
    <t>P2O5-1039</t>
  </si>
  <si>
    <t>P2O5-1040</t>
  </si>
  <si>
    <t>P2O5-1041</t>
  </si>
  <si>
    <t>P2O5-1042</t>
  </si>
  <si>
    <t>P2O5-1043</t>
  </si>
  <si>
    <t>P2O5-1044</t>
  </si>
  <si>
    <t>P2O5-1045</t>
  </si>
  <si>
    <t>P2O5-1046</t>
  </si>
  <si>
    <t>P2O5-1047</t>
  </si>
  <si>
    <t>P2O5-1048</t>
  </si>
  <si>
    <t>P2O5-1049</t>
  </si>
  <si>
    <t>P2O5-1050</t>
  </si>
  <si>
    <t>P2O5-1051</t>
  </si>
  <si>
    <t>P2O5-1052</t>
  </si>
  <si>
    <t>P2O5-1053</t>
  </si>
  <si>
    <t>P2O5-1054</t>
  </si>
  <si>
    <t>P2O5-1055</t>
  </si>
  <si>
    <t>P2O5-1056</t>
  </si>
  <si>
    <t>P2O5-1057</t>
  </si>
  <si>
    <t>P2O5-1058</t>
  </si>
  <si>
    <t>P2O5-1059</t>
  </si>
  <si>
    <t>P2O5-1060</t>
  </si>
  <si>
    <t>P2O5-1061</t>
  </si>
  <si>
    <t>P2O5-1062</t>
  </si>
  <si>
    <t>P2O5-1063</t>
  </si>
  <si>
    <t>P2O5-1064</t>
  </si>
  <si>
    <t>P2O5-1065</t>
  </si>
  <si>
    <t>P2O5-1066</t>
  </si>
  <si>
    <t>P2O5-1067</t>
  </si>
  <si>
    <t>P2O5-1068</t>
  </si>
  <si>
    <t>P2O5-1069</t>
  </si>
  <si>
    <t>P2O5-1070</t>
  </si>
  <si>
    <t>P2O5-1071</t>
  </si>
  <si>
    <t>P2O5-1072</t>
  </si>
  <si>
    <t>P2O5-1073</t>
  </si>
  <si>
    <t>P2O5-1074</t>
  </si>
  <si>
    <t>P2O5-1075</t>
  </si>
  <si>
    <t>P2O5-1076</t>
  </si>
  <si>
    <t>P2O5-1077</t>
  </si>
  <si>
    <t>P2O5-1078</t>
  </si>
  <si>
    <t>P2O5-1079</t>
  </si>
  <si>
    <t>P2O5-1080</t>
  </si>
  <si>
    <t>P2O5-1081</t>
  </si>
  <si>
    <t>P2O5-1082</t>
  </si>
  <si>
    <t>P2O5-1083</t>
  </si>
  <si>
    <t>P2O5-1084</t>
  </si>
  <si>
    <t>P2O5-1085</t>
  </si>
  <si>
    <t>P2O5-1086</t>
  </si>
  <si>
    <t>P2O5-1087</t>
  </si>
  <si>
    <t>P2O5-1088</t>
  </si>
  <si>
    <t>P2O5-1089</t>
  </si>
  <si>
    <t>P2O5-1090</t>
  </si>
  <si>
    <t>P2O5-1091</t>
  </si>
  <si>
    <t>P2O5-1092</t>
  </si>
  <si>
    <t>P2O5-1093</t>
  </si>
  <si>
    <t>P2O5-1094</t>
  </si>
  <si>
    <t>P2O5-1095</t>
  </si>
  <si>
    <t>P2O5-1096</t>
  </si>
  <si>
    <t>P2O5-1097</t>
  </si>
  <si>
    <t>P2O5-1098</t>
  </si>
  <si>
    <t>P2O5-1099</t>
  </si>
  <si>
    <t>P2O5-1100</t>
  </si>
  <si>
    <t>P2O5-1101</t>
  </si>
  <si>
    <t>P2O5-1102</t>
  </si>
  <si>
    <t>P2O5-1103</t>
  </si>
  <si>
    <t>P2O5-1104</t>
  </si>
  <si>
    <t>P2O5-1105</t>
  </si>
  <si>
    <t>P2O5-1106</t>
  </si>
  <si>
    <t>P2O5-1107</t>
  </si>
  <si>
    <t>P2O5-1108</t>
  </si>
  <si>
    <t>P2O5-1109</t>
  </si>
  <si>
    <t>P2O5-1110</t>
  </si>
  <si>
    <t>P2O5-1111</t>
  </si>
  <si>
    <t>P2O5-1112</t>
  </si>
  <si>
    <t>P2O5-1113</t>
  </si>
  <si>
    <t>P2O5-1114</t>
  </si>
  <si>
    <t>P2O5-1115</t>
  </si>
  <si>
    <t>P2O5-1116</t>
  </si>
  <si>
    <t>P2O5-1117</t>
  </si>
  <si>
    <t>P2O5-1118</t>
  </si>
  <si>
    <t>P2O5-1119</t>
  </si>
  <si>
    <t>P2O5-1120</t>
  </si>
  <si>
    <t>Rendement_objectif_t_ha</t>
  </si>
  <si>
    <t>P2O5_sol_mg_kg</t>
  </si>
  <si>
    <t>Classe_P_sol</t>
  </si>
  <si>
    <t>Exportation_unitaire_kg_P2O5_t</t>
  </si>
  <si>
    <t>Exportation_P2O5_kg_ha</t>
  </si>
  <si>
    <t>Apport_organique_kg_P2O5_ha</t>
  </si>
  <si>
    <t>Apport_organique_equivalent_kg_P2O5_ha</t>
  </si>
  <si>
    <t>Apport_necessaire_P2O5_kg_ha</t>
  </si>
  <si>
    <t>Apport_mineral_P2O5_kg_ha</t>
  </si>
  <si>
    <t>Dose_totale_parcelle_kg_P2O5</t>
  </si>
  <si>
    <t>Elles ne sont pas des recommandations agronomiques et doivent être validées avec la grille COMIFER et les références tunisiennes.</t>
  </si>
  <si>
    <t>Les valeurs d’exemple servent à tester le fonctionnement du classeur.</t>
  </si>
  <si>
    <t>IMPORTANT</t>
  </si>
  <si>
    <t>Source méthodologique</t>
  </si>
  <si>
    <t>Exportation → Apport nécessaire → Apport minéral → Dose parcelle</t>
  </si>
  <si>
    <t>Calculs automatiques</t>
  </si>
  <si>
    <t>Gouvernorats couverts</t>
  </si>
  <si>
    <t>Nombre d’exemples</t>
  </si>
  <si>
    <t>Nombre de lignes importées</t>
  </si>
  <si>
    <t>Base de données de calcul de l’apport en P₂O₅ — Tunisie</t>
  </si>
  <si>
    <r>
      <t xml:space="preserve">Ces colonnes représentent </t>
    </r>
    <r>
      <rPr>
        <b/>
        <sz val="11"/>
        <color theme="1"/>
        <rFont val="Calibri"/>
        <family val="2"/>
        <scheme val="minor"/>
      </rPr>
      <t>la chaîne complète de calcul du besoin en P₂O₅</t>
    </r>
    <r>
      <rPr>
        <sz val="11"/>
        <color theme="1"/>
        <rFont val="Calibri"/>
        <family val="2"/>
        <scheme val="minor"/>
      </rPr>
      <t>, depuis l’exportation par la culture jusqu’à la quantité d’engrais minéral à apporter.</t>
    </r>
  </si>
  <si>
    <r>
      <t xml:space="preserve">1. </t>
    </r>
    <r>
      <rPr>
        <b/>
        <sz val="10"/>
        <color theme="1"/>
        <rFont val="Arial Unicode MS"/>
        <family val="2"/>
      </rPr>
      <t>Exportation_unitaire_kg_P2O5_t</t>
    </r>
  </si>
  <si>
    <r>
      <t xml:space="preserve">C’est la quantité de </t>
    </r>
    <r>
      <rPr>
        <b/>
        <sz val="11"/>
        <color theme="1"/>
        <rFont val="Calibri"/>
        <family val="2"/>
        <scheme val="minor"/>
      </rPr>
      <t>P₂O₅ exportée par la culture pour chaque tonne de produit récolté</t>
    </r>
    <r>
      <rPr>
        <sz val="11"/>
        <color theme="1"/>
        <rFont val="Calibri"/>
        <family val="2"/>
        <scheme val="minor"/>
      </rPr>
      <t>.</t>
    </r>
  </si>
  <si>
    <r>
      <t>Unité :</t>
    </r>
    <r>
      <rPr>
        <sz val="11"/>
        <color theme="1"/>
        <rFont val="Calibri"/>
        <family val="2"/>
        <scheme val="minor"/>
      </rPr>
      <t xml:space="preserve"> kg P₂O₅ / tonne de récolte.</t>
    </r>
  </si>
  <si>
    <t>Exemple :</t>
  </si>
  <si>
    <t>Blé dur : valeur d’exemple = 18 kg P₂O₅/t</t>
  </si>
  <si>
    <t>Rendement objectif = 5 t/ha</t>
  </si>
  <si>
    <t>Donc la culture exporte :</t>
  </si>
  <si>
    <t>18 × 5 = 90 kg P₂O₅/ha</t>
  </si>
  <si>
    <t>⚠️ Cette valeur doit idéalement provenir des références agronomiques utilisées pour la méthode retenue, et non être fixée arbitrairement.</t>
  </si>
  <si>
    <r>
      <t xml:space="preserve">2. </t>
    </r>
    <r>
      <rPr>
        <b/>
        <sz val="10"/>
        <color theme="1"/>
        <rFont val="Arial Unicode MS"/>
        <family val="2"/>
      </rPr>
      <t>Exportation_P2O5_kg_ha</t>
    </r>
  </si>
  <si>
    <r>
      <t>C'est l'</t>
    </r>
    <r>
      <rPr>
        <b/>
        <sz val="11"/>
        <color theme="1"/>
        <rFont val="Calibri"/>
        <family val="2"/>
        <scheme val="minor"/>
      </rPr>
      <t>exportation totale de P₂O₅ par hectare</t>
    </r>
    <r>
      <rPr>
        <sz val="11"/>
        <color theme="1"/>
        <rFont val="Calibri"/>
        <family val="2"/>
        <scheme val="minor"/>
      </rPr>
      <t>.</t>
    </r>
  </si>
  <si>
    <t>Formule :</t>
  </si>
  <si>
    <t>Exportation P₂O₅ = Rendement objectif × Exportation unitaire</t>
  </si>
  <si>
    <t>Rendement</t>
  </si>
  <si>
    <t>Exportation unitaire</t>
  </si>
  <si>
    <t>Exportation</t>
  </si>
  <si>
    <t>5 t/ha</t>
  </si>
  <si>
    <t>18 kg/t</t>
  </si>
  <si>
    <t>90 kg P₂O₅/ha</t>
  </si>
  <si>
    <t>Dans Excel :</t>
  </si>
  <si>
    <r>
      <t xml:space="preserve">3. </t>
    </r>
    <r>
      <rPr>
        <b/>
        <sz val="10"/>
        <color theme="1"/>
        <rFont val="Arial Unicode MS"/>
        <family val="2"/>
      </rPr>
      <t>Coefficient_multiplicateur</t>
    </r>
  </si>
  <si>
    <r>
      <t xml:space="preserve">C'est le coefficient qui permet de transformer l'exportation de la culture en </t>
    </r>
    <r>
      <rPr>
        <b/>
        <sz val="11"/>
        <color theme="1"/>
        <rFont val="Calibri"/>
        <family val="2"/>
        <scheme val="minor"/>
      </rPr>
      <t>besoin de fertilisation</t>
    </r>
    <r>
      <rPr>
        <sz val="11"/>
        <color theme="1"/>
        <rFont val="Calibri"/>
        <family val="2"/>
        <scheme val="minor"/>
      </rPr>
      <t>, en tenant compte notamment de la teneur en P du sol et de la stratégie de fertilisation.</t>
    </r>
  </si>
  <si>
    <t>Formule utilisée dans notre fichier :</t>
  </si>
  <si>
    <t>Apport nécessaire = Exportation × Coefficient</t>
  </si>
  <si>
    <t>Exportation = 90 kg/ha</t>
  </si>
  <si>
    <t>Coefficient = 1,15</t>
  </si>
  <si>
    <r>
      <t xml:space="preserve">→ </t>
    </r>
    <r>
      <rPr>
        <b/>
        <sz val="11"/>
        <color theme="1"/>
        <rFont val="Calibri"/>
        <family val="2"/>
        <scheme val="minor"/>
      </rPr>
      <t>90 × 1,15 = 103,5 kg P₂O₅/ha</t>
    </r>
  </si>
  <si>
    <r>
      <t xml:space="preserve">⚠️ </t>
    </r>
    <r>
      <rPr>
        <b/>
        <sz val="11"/>
        <color theme="1"/>
        <rFont val="Calibri"/>
        <family val="2"/>
        <scheme val="minor"/>
      </rPr>
      <t>C'est une colonne particulièrement importante.</t>
    </r>
    <r>
      <rPr>
        <sz val="11"/>
        <color theme="1"/>
        <rFont val="Calibri"/>
        <family val="2"/>
        <scheme val="minor"/>
      </rPr>
      <t xml:space="preserve"> Dans le fichier actuel, les coefficients sont des </t>
    </r>
    <r>
      <rPr>
        <b/>
        <sz val="11"/>
        <color theme="1"/>
        <rFont val="Calibri"/>
        <family val="2"/>
        <scheme val="minor"/>
      </rPr>
      <t>valeurs d'exemple</t>
    </r>
    <r>
      <rPr>
        <sz val="11"/>
        <color theme="1"/>
        <rFont val="Calibri"/>
        <family val="2"/>
        <scheme val="minor"/>
      </rPr>
      <t>. Pour une véritable version COMIFER, il faudra remplacer cette logique par la grille de référence validée.</t>
    </r>
  </si>
  <si>
    <r>
      <t xml:space="preserve">4. </t>
    </r>
    <r>
      <rPr>
        <b/>
        <sz val="10"/>
        <color theme="1"/>
        <rFont val="Arial Unicode MS"/>
        <family val="2"/>
      </rPr>
      <t>Apport_organique_kg_P2O5_ha</t>
    </r>
  </si>
  <si>
    <r>
      <t xml:space="preserve">C'est la quantité de </t>
    </r>
    <r>
      <rPr>
        <b/>
        <sz val="11"/>
        <color theme="1"/>
        <rFont val="Calibri"/>
        <family val="2"/>
        <scheme val="minor"/>
      </rPr>
      <t>P₂O₅ apportée par les matières organiques</t>
    </r>
    <r>
      <rPr>
        <sz val="11"/>
        <color theme="1"/>
        <rFont val="Calibri"/>
        <family val="2"/>
        <scheme val="minor"/>
      </rPr>
      <t>, exprimée par hectare.</t>
    </r>
  </si>
  <si>
    <t>Exemples :</t>
  </si>
  <si>
    <t>fumier ;</t>
  </si>
  <si>
    <t>compost ;</t>
  </si>
  <si>
    <t>lisier ;</t>
  </si>
  <si>
    <t>autres amendements organiques.</t>
  </si>
  <si>
    <t>100 kg P₂O₅/ha apportés par la matière organique.</t>
  </si>
  <si>
    <r>
      <t xml:space="preserve">Attention : cela ne signifie pas nécessairement que les </t>
    </r>
    <r>
      <rPr>
        <b/>
        <sz val="11"/>
        <color theme="1"/>
        <rFont val="Calibri"/>
        <family val="2"/>
        <scheme val="minor"/>
      </rPr>
      <t>100 kg sont immédiatement disponibles pour la culture</t>
    </r>
    <r>
      <rPr>
        <sz val="11"/>
        <color theme="1"/>
        <rFont val="Calibri"/>
        <family val="2"/>
        <scheme val="minor"/>
      </rPr>
      <t>.</t>
    </r>
  </si>
  <si>
    <r>
      <t xml:space="preserve">5. </t>
    </r>
    <r>
      <rPr>
        <b/>
        <sz val="10"/>
        <color theme="1"/>
        <rFont val="Arial Unicode MS"/>
        <family val="2"/>
      </rPr>
      <t>Coeff_equivalent_engrais</t>
    </r>
  </si>
  <si>
    <r>
      <t xml:space="preserve">C'est le coefficient permettant d'estimer la </t>
    </r>
    <r>
      <rPr>
        <b/>
        <sz val="11"/>
        <color theme="1"/>
        <rFont val="Calibri"/>
        <family val="2"/>
        <scheme val="minor"/>
      </rPr>
      <t>fraction de l'apport organique considérée comme équivalente à un apport d'engrais minéral disponible</t>
    </r>
    <r>
      <rPr>
        <sz val="11"/>
        <color theme="1"/>
        <rFont val="Calibri"/>
        <family val="2"/>
        <scheme val="minor"/>
      </rPr>
      <t>.</t>
    </r>
  </si>
  <si>
    <t>Exemple pédagogique dans le fichier :</t>
  </si>
  <si>
    <t>Coefficient = 0,35</t>
  </si>
  <si>
    <t>Si l'apport organique contient :</t>
  </si>
  <si>
    <t>100 kg P₂O₅/ha</t>
  </si>
  <si>
    <t>alors :</t>
  </si>
  <si>
    <t>100 × 0,35 = 35 kg P₂O₅/ha équivalent engrais</t>
  </si>
  <si>
    <t>⚠️ Là encore, le coefficient doit être déterminé selon la nature du produit organique, sa disponibilité du phosphore et la méthode agronomique retenue.</t>
  </si>
  <si>
    <r>
      <t xml:space="preserve">6. </t>
    </r>
    <r>
      <rPr>
        <b/>
        <sz val="10"/>
        <color theme="1"/>
        <rFont val="Arial Unicode MS"/>
        <family val="2"/>
      </rPr>
      <t>Apport_organique_equivalent_kg_P2O5_ha</t>
    </r>
  </si>
  <si>
    <r>
      <t xml:space="preserve">C'est donc la quantité d'apport organique </t>
    </r>
    <r>
      <rPr>
        <b/>
        <sz val="11"/>
        <color theme="1"/>
        <rFont val="Calibri"/>
        <family val="2"/>
        <scheme val="minor"/>
      </rPr>
      <t>retenue comme disponible/équivalente à l'engrais minéral</t>
    </r>
    <r>
      <rPr>
        <sz val="11"/>
        <color theme="1"/>
        <rFont val="Calibri"/>
        <family val="2"/>
        <scheme val="minor"/>
      </rPr>
      <t>.</t>
    </r>
  </si>
  <si>
    <t>Apport organique équivalent = Apport organique × Coefficient équivalent</t>
  </si>
  <si>
    <r>
      <t xml:space="preserve">100 × 0,35 = </t>
    </r>
    <r>
      <rPr>
        <b/>
        <sz val="11"/>
        <color theme="1"/>
        <rFont val="Calibri"/>
        <family val="2"/>
        <scheme val="minor"/>
      </rPr>
      <t>35 kg P₂O₅/ha</t>
    </r>
  </si>
  <si>
    <r>
      <t xml:space="preserve">7. </t>
    </r>
    <r>
      <rPr>
        <b/>
        <sz val="10"/>
        <color theme="1"/>
        <rFont val="Arial Unicode MS"/>
        <family val="2"/>
      </rPr>
      <t>Apport_necessaire_P2O5_kg_ha</t>
    </r>
  </si>
  <si>
    <r>
      <t xml:space="preserve">C'est le </t>
    </r>
    <r>
      <rPr>
        <b/>
        <sz val="11"/>
        <color theme="1"/>
        <rFont val="Calibri"/>
        <family val="2"/>
        <scheme val="minor"/>
      </rPr>
      <t>besoin théorique de fertilisation avant déduction de l'apport organique</t>
    </r>
    <r>
      <rPr>
        <sz val="11"/>
        <color theme="1"/>
        <rFont val="Calibri"/>
        <family val="2"/>
        <scheme val="minor"/>
      </rPr>
      <t>.</t>
    </r>
  </si>
  <si>
    <t>Dans le modèle actuel :</t>
  </si>
  <si>
    <t>Apport nécessaire = Exportation × Coefficient multiplicateur</t>
  </si>
  <si>
    <r>
      <t xml:space="preserve">90 × 1,15 = </t>
    </r>
    <r>
      <rPr>
        <b/>
        <sz val="11"/>
        <color theme="1"/>
        <rFont val="Calibri"/>
        <family val="2"/>
        <scheme val="minor"/>
      </rPr>
      <t>103,5 kg P₂O₅/ha</t>
    </r>
  </si>
  <si>
    <r>
      <t xml:space="preserve">8. </t>
    </r>
    <r>
      <rPr>
        <b/>
        <sz val="10"/>
        <color theme="1"/>
        <rFont val="Arial Unicode MS"/>
        <family val="2"/>
      </rPr>
      <t>Apport_mineral_P2O5_kg_ha</t>
    </r>
  </si>
  <si>
    <r>
      <t xml:space="preserve">C'est finalement la quantité de </t>
    </r>
    <r>
      <rPr>
        <b/>
        <sz val="11"/>
        <color theme="1"/>
        <rFont val="Calibri"/>
        <family val="2"/>
        <scheme val="minor"/>
      </rPr>
      <t>P₂O₅ à fournir sous forme minérale</t>
    </r>
    <r>
      <rPr>
        <sz val="11"/>
        <color theme="1"/>
        <rFont val="Calibri"/>
        <family val="2"/>
        <scheme val="minor"/>
      </rPr>
      <t>, après prise en compte de l'apport organique disponible.</t>
    </r>
  </si>
  <si>
    <t>Apport minéral = MAX(0 ; Apport nécessaire − Apport organique équivalent)</t>
  </si>
  <si>
    <t>Apport nécessaire = 103,5 kg/ha</t>
  </si>
  <si>
    <t>Apport organique équivalent = 35 kg/ha</t>
  </si>
  <si>
    <t>Donc :</t>
  </si>
  <si>
    <t>103,5 − 35 = 68,5 kg P₂O₅/ha</t>
  </si>
  <si>
    <t>=MAX(0,O2-N2)</t>
  </si>
  <si>
    <r>
      <t xml:space="preserve">Le </t>
    </r>
    <r>
      <rPr>
        <sz val="10"/>
        <color theme="1"/>
        <rFont val="Arial Unicode MS"/>
        <family val="2"/>
      </rPr>
      <t>MAX(0;...)</t>
    </r>
    <r>
      <rPr>
        <sz val="11"/>
        <color theme="1"/>
        <rFont val="Calibri"/>
        <family val="2"/>
        <scheme val="minor"/>
      </rPr>
      <t xml:space="preserve"> empêche d'obtenir une dose négative.</t>
    </r>
  </si>
  <si>
    <r>
      <t xml:space="preserve">9. </t>
    </r>
    <r>
      <rPr>
        <b/>
        <sz val="10"/>
        <color theme="1"/>
        <rFont val="Arial Unicode MS"/>
        <family val="2"/>
      </rPr>
      <t>Dose_totale_parcelle_kg_P2O5</t>
    </r>
  </si>
  <si>
    <r>
      <t xml:space="preserve">Cette colonne transforme la dose </t>
    </r>
    <r>
      <rPr>
        <b/>
        <sz val="11"/>
        <color theme="1"/>
        <rFont val="Calibri"/>
        <family val="2"/>
        <scheme val="minor"/>
      </rPr>
      <t>par hectare</t>
    </r>
    <r>
      <rPr>
        <sz val="11"/>
        <color theme="1"/>
        <rFont val="Calibri"/>
        <family val="2"/>
        <scheme val="minor"/>
      </rPr>
      <t xml:space="preserve"> en quantité nécessaire pour </t>
    </r>
    <r>
      <rPr>
        <b/>
        <sz val="11"/>
        <color theme="1"/>
        <rFont val="Calibri"/>
        <family val="2"/>
        <scheme val="minor"/>
      </rPr>
      <t>toute la parcelle</t>
    </r>
    <r>
      <rPr>
        <sz val="11"/>
        <color theme="1"/>
        <rFont val="Calibri"/>
        <family val="2"/>
        <scheme val="minor"/>
      </rPr>
      <t>.</t>
    </r>
  </si>
  <si>
    <t>Dose totale = Apport minéral/ha × Surface de la parcelle</t>
  </si>
  <si>
    <t>Apport minéral = 68,5 kg/ha</t>
  </si>
  <si>
    <t>Surface = 4 ha</t>
  </si>
  <si>
    <r>
      <t xml:space="preserve">→ </t>
    </r>
    <r>
      <rPr>
        <b/>
        <sz val="11"/>
        <color theme="1"/>
        <rFont val="Calibri"/>
        <family val="2"/>
        <scheme val="minor"/>
      </rPr>
      <t>68,5 × 4 = 274 kg P₂O₅ pour la parcelle</t>
    </r>
  </si>
  <si>
    <t>🔄 La chaîne complète</t>
  </si>
  <si>
    <t>On peut donc représenter le fonctionnement ainsi :</t>
  </si>
  <si>
    <t>Rendement objectif</t>
  </si>
  <si>
    <t>↓</t>
  </si>
  <si>
    <t>× Exportation unitaire</t>
  </si>
  <si>
    <t>Exportation P₂O₅ kg/ha</t>
  </si>
  <si>
    <t>× Coefficient multiplicateur</t>
  </si>
  <si>
    <t>Apport nécessaire P₂O₅ kg/ha</t>
  </si>
  <si>
    <t>− Apport organique équivalent</t>
  </si>
  <si>
    <t>Apport minéral P₂O₅ kg/ha</t>
  </si>
  <si>
    <t>× Surface de la parcelle</t>
  </si>
  <si>
    <t>Dose totale P₂O₅ de la parcelle</t>
  </si>
  <si>
    <t>Et parallèlement :</t>
  </si>
  <si>
    <t>Apport organique kg/ha</t>
  </si>
  <si>
    <t>× coefficient d'équivalence</t>
  </si>
  <si>
    <t>Apport organique équivalent kg P₂O₅/ha</t>
  </si>
  <si>
    <t>Élément</t>
  </si>
  <si>
    <t>Description / formule</t>
  </si>
  <si>
    <t>Apport efficace P2O5</t>
  </si>
  <si>
    <t>Valeur issue de l’analyse du sol ou du diagnostic agronomique. À saisir en kg P2O5/ha si disponible.</t>
  </si>
  <si>
    <t>Exportation P2O5</t>
  </si>
  <si>
    <t>Quantité exportée par la culture : rendement objectif × exportation unitaire P2O5.</t>
  </si>
  <si>
    <t>Apport nécessaire P2O5</t>
  </si>
  <si>
    <t>Formule COMIFER simplifiée appliquée dans le fichier : Exportation P2O5 × Coefficient multiplicateur COMIFER.</t>
  </si>
  <si>
    <t>Apport minéral recommandé</t>
  </si>
  <si>
    <t>Apport nécessaire − (Apport organique disponible × Coefficient équivalent engrais), avec minimum 0.</t>
  </si>
  <si>
    <t>Dose totale parcelle</t>
  </si>
  <si>
    <t>Apport minéral recommandé × Surface.</t>
  </si>
  <si>
    <t>Attention</t>
  </si>
  <si>
    <t>Le guide PDF fourni est un document numérisé ; les grilles chiffrées complètes ne sont pas lisibles automatiquement. Les coefficients doivent donc être renseignés/validés selon la grille COMIFER adaptée à la culture, au sol et à l’historique.</t>
  </si>
  <si>
    <t>Gouvernorats tunisiens — exemples</t>
  </si>
  <si>
    <t>Valeur / unité</t>
  </si>
  <si>
    <t>Classes P₂O₅ — exemple pédagogique</t>
  </si>
  <si>
    <t>ATTENTION</t>
  </si>
  <si>
    <t>Méthode d’extraction P</t>
  </si>
  <si>
    <t>Olsen</t>
  </si>
  <si>
    <t>&lt; 15 mg/kg</t>
  </si>
  <si>
    <t>Seuils, exportations et coefficients ci-dessus sont des EXEMPLES.</t>
  </si>
  <si>
    <t>ppm (mg/kg)</t>
  </si>
  <si>
    <t>15–25 mg/kg</t>
  </si>
  <si>
    <t>Ils ne constituent pas la grille COMIFER officielle.</t>
  </si>
  <si>
    <t>kg P2O5/ha</t>
  </si>
  <si>
    <t>25–35 mg/kg</t>
  </si>
  <si>
    <t>Ils doivent être remplacés/validés avant usage agronomique.</t>
  </si>
  <si>
    <t>À renseigner</t>
  </si>
  <si>
    <t>&gt;= 35 mg/kg</t>
  </si>
  <si>
    <t>1 par défaut</t>
  </si>
  <si>
    <t>À adapter aux produits organiques utilisés.</t>
  </si>
  <si>
    <t>kg P2O5 par tonne de produit récolté.</t>
  </si>
  <si>
    <t>Culture</t>
  </si>
  <si>
    <t>Exportation indicative kg P₂O₅/t</t>
  </si>
  <si>
    <t>Coefficient de base indicatif</t>
  </si>
  <si>
    <t>Statut</t>
  </si>
  <si>
    <t>EXEMPLE — à valider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</si>
</sst>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4" x14ac:knownFonts="1">
    <font>
      <sz val="11"/>
      <color theme="1"/>
      <name val="Calibri"/>
      <family val="2"/>
      <scheme val="minor"/>
    </font>
    <font>
      <b/>
      <sz val="13"/>
      <name val="Arial"/>
    </font>
    <font>
      <b/>
      <sz val="11"/>
      <name val="Arial"/>
    </font>
    <font>
      <sz val="9"/>
      <name val="Arial"/>
    </font>
    <font>
      <sz val="9"/>
      <color rgb="FFC00000"/>
      <name val="Arial"/>
    </font>
    <font>
      <b/>
      <sz val="10"/>
      <color rgb="FFFFFFFF"/>
      <name val="Arial"/>
    </font>
    <font>
      <sz val="10"/>
      <name val="Arial"/>
    </font>
    <font>
      <b/>
      <sz val="11"/>
      <color rgb="FFFFFFFF"/>
      <name val="Calibri"/>
    </font>
    <font>
      <b/>
      <sz val="11"/>
      <color theme="1"/>
      <name val="Calibri"/>
      <family val="2"/>
      <scheme val="minor"/>
    </font>
    <font>
      <b/>
      <sz val="16"/>
      <name val="Calibri"/>
    </font>
    <font>
      <b/>
      <sz val="13.5"/>
      <color theme="1"/>
      <name val="Calibri"/>
      <family val="2"/>
      <scheme val="minor"/>
    </font>
    <font>
      <b/>
      <sz val="10"/>
      <color theme="1"/>
      <name val="Arial Unicode MS"/>
      <family val="2"/>
    </font>
    <font>
      <sz val="10"/>
      <color theme="1"/>
      <name val="Arial Unicode MS"/>
      <family val="2"/>
    </font>
    <font>
      <b/>
      <sz val="18"/>
      <color theme="1"/>
      <name val="Calibri"/>
      <family val="2"/>
      <scheme val="minor"/>
    </font>
  </fonts>
  <fills count="5">
    <fill>
      <patternFill patternType="none"/>
    </fill>
    <fill>
      <patternFill patternType="gray125"/>
    </fill>
    <fill>
      <patternFill patternType="solid">
        <fgColor rgb="FF1F4E78"/>
      </patternFill>
    </fill>
    <fill>
      <patternFill patternType="solid">
        <fgColor rgb="FF4F6F52"/>
      </patternFill>
    </fill>
    <fill>
      <patternFill patternType="solid">
        <fgColor rgb="FF548235"/>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0">
    <xf numFmtId="0" fontId="0" fillId="0" borderId="0" xfId="0"/>
    <xf numFmtId="0" fontId="3" fillId="0" borderId="0" xfId="0" applyFont="1"/>
    <xf numFmtId="0" fontId="5" fillId="2" borderId="0" xfId="0" applyFont="1" applyFill="1" applyAlignment="1">
      <alignment horizontal="center" vertical="center" wrapText="1"/>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right" vertical="center" wrapText="1"/>
    </xf>
    <xf numFmtId="164"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0" fontId="0" fillId="0" borderId="0" xfId="0"/>
    <xf numFmtId="0" fontId="7" fillId="2" borderId="2" xfId="0" applyFont="1" applyFill="1" applyBorder="1" applyAlignment="1">
      <alignment horizontal="center" vertical="center" wrapText="1"/>
    </xf>
    <xf numFmtId="0" fontId="2" fillId="0" borderId="0" xfId="0" applyFont="1"/>
    <xf numFmtId="0" fontId="0" fillId="0" borderId="0" xfId="0"/>
    <xf numFmtId="0" fontId="4" fillId="0" borderId="0" xfId="0" applyFont="1" applyAlignment="1">
      <alignment horizontal="right" vertical="top" wrapText="1"/>
    </xf>
    <xf numFmtId="0" fontId="1" fillId="0" borderId="0" xfId="0" applyFont="1"/>
    <xf numFmtId="0" fontId="3" fillId="0" borderId="0" xfId="0" applyFont="1" applyAlignment="1">
      <alignment horizontal="right" vertical="top" wrapText="1"/>
    </xf>
    <xf numFmtId="0" fontId="0" fillId="0" borderId="2" xfId="0" applyBorder="1" applyAlignment="1">
      <alignment vertical="top" wrapText="1"/>
    </xf>
    <xf numFmtId="0" fontId="7" fillId="3" borderId="2" xfId="0" applyFont="1" applyFill="1" applyBorder="1" applyAlignment="1">
      <alignment vertical="top" wrapText="1"/>
    </xf>
    <xf numFmtId="0" fontId="9" fillId="3" borderId="2" xfId="0" applyFont="1" applyFill="1" applyBorder="1" applyAlignment="1">
      <alignment vertical="top" wrapText="1"/>
    </xf>
    <xf numFmtId="0" fontId="10" fillId="0" borderId="0" xfId="0" applyFont="1" applyAlignment="1">
      <alignment vertical="center"/>
    </xf>
    <xf numFmtId="0" fontId="8" fillId="0" borderId="0" xfId="0" applyFont="1"/>
    <xf numFmtId="0" fontId="0" fillId="0" borderId="0" xfId="0" applyAlignment="1">
      <alignment horizontal="left" vertical="center" indent="1"/>
    </xf>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0" fontId="12" fillId="0" borderId="0" xfId="0" applyFont="1"/>
    <xf numFmtId="0" fontId="13" fillId="0" borderId="0" xfId="0" applyFont="1" applyAlignment="1">
      <alignment vertical="center"/>
    </xf>
    <xf numFmtId="0" fontId="7"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baseColWidth="10" defaultColWidth="9.140625" defaultRowHeight="15" x14ac:dyDescent="0.25"/>
  <cols>
    <col min="1" max="1" width="110" style="11" customWidth="1"/>
    <col min="2" max="2" width="90" style="11" customWidth="1"/>
    <col min="3" max="16384" width="9.140625" style="11"/>
  </cols>
  <sheetData>
    <row r="1" spans="1:2" ht="21" x14ac:dyDescent="0.25">
      <c r="A1" s="20" t="s">
        <v>1237</v>
      </c>
      <c r="B1" s="19"/>
    </row>
    <row r="2" spans="1:2" x14ac:dyDescent="0.25">
      <c r="A2" s="18" t="s">
        <v>1236</v>
      </c>
      <c r="B2" s="18">
        <v>1120</v>
      </c>
    </row>
    <row r="3" spans="1:2" x14ac:dyDescent="0.25">
      <c r="A3" s="18" t="s">
        <v>1235</v>
      </c>
      <c r="B3" s="18">
        <v>1120</v>
      </c>
    </row>
    <row r="4" spans="1:2" x14ac:dyDescent="0.25">
      <c r="A4" s="18" t="s">
        <v>1234</v>
      </c>
      <c r="B4" s="18">
        <v>24</v>
      </c>
    </row>
    <row r="5" spans="1:2" x14ac:dyDescent="0.25">
      <c r="A5" s="18" t="s">
        <v>1233</v>
      </c>
      <c r="B5" s="18" t="s">
        <v>1232</v>
      </c>
    </row>
    <row r="6" spans="1:2" x14ac:dyDescent="0.25">
      <c r="A6" s="18" t="s">
        <v>1231</v>
      </c>
      <c r="B6" s="18" t="s">
        <v>7</v>
      </c>
    </row>
    <row r="7" spans="1:2" x14ac:dyDescent="0.25">
      <c r="A7" s="11" t="s">
        <v>1230</v>
      </c>
    </row>
    <row r="8" spans="1:2" x14ac:dyDescent="0.25">
      <c r="A8" s="11" t="s">
        <v>1229</v>
      </c>
    </row>
    <row r="9" spans="1:2" x14ac:dyDescent="0.25">
      <c r="A9" s="11" t="s">
        <v>1228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rightToLeft="1" workbookViewId="0"/>
  </sheetViews>
  <sheetFormatPr baseColWidth="10" defaultColWidth="9.140625" defaultRowHeight="15" x14ac:dyDescent="0.25"/>
  <cols>
    <col min="1" max="1" width="30" customWidth="1"/>
    <col min="2" max="2" width="16" customWidth="1"/>
    <col min="3" max="3" width="70" customWidth="1"/>
  </cols>
  <sheetData>
    <row r="1" spans="1:3" ht="16.5" x14ac:dyDescent="0.25">
      <c r="A1" s="16" t="s">
        <v>0</v>
      </c>
      <c r="B1" s="14"/>
      <c r="C1" s="14"/>
    </row>
    <row r="3" spans="1:3" x14ac:dyDescent="0.25">
      <c r="A3" s="13" t="s">
        <v>1</v>
      </c>
      <c r="B3" s="14"/>
      <c r="C3" s="1">
        <v>1120</v>
      </c>
    </row>
    <row r="4" spans="1:3" x14ac:dyDescent="0.25">
      <c r="A4" s="13" t="s">
        <v>2</v>
      </c>
      <c r="B4" s="14"/>
      <c r="C4" s="1">
        <v>1120</v>
      </c>
    </row>
    <row r="5" spans="1:3" x14ac:dyDescent="0.25">
      <c r="A5" s="13" t="s">
        <v>3</v>
      </c>
      <c r="B5" s="14"/>
      <c r="C5" s="1">
        <v>24</v>
      </c>
    </row>
    <row r="6" spans="1:3" x14ac:dyDescent="0.25">
      <c r="A6" s="13" t="s">
        <v>4</v>
      </c>
      <c r="B6" s="14"/>
      <c r="C6" s="1" t="s">
        <v>5</v>
      </c>
    </row>
    <row r="7" spans="1:3" x14ac:dyDescent="0.25">
      <c r="A7" s="13" t="s">
        <v>6</v>
      </c>
      <c r="B7" s="14"/>
      <c r="C7" s="1" t="s">
        <v>7</v>
      </c>
    </row>
    <row r="9" spans="1:3" x14ac:dyDescent="0.25">
      <c r="A9" s="13" t="s">
        <v>8</v>
      </c>
      <c r="B9" s="14"/>
      <c r="C9" s="14"/>
    </row>
    <row r="10" spans="1:3" x14ac:dyDescent="0.25">
      <c r="A10" s="17" t="s">
        <v>9</v>
      </c>
      <c r="B10" s="14"/>
      <c r="C10" s="14"/>
    </row>
    <row r="11" spans="1:3" x14ac:dyDescent="0.25">
      <c r="A11" s="14"/>
      <c r="B11" s="14"/>
      <c r="C11" s="14"/>
    </row>
    <row r="12" spans="1:3" x14ac:dyDescent="0.25">
      <c r="A12" s="14"/>
      <c r="B12" s="14"/>
      <c r="C12" s="14"/>
    </row>
    <row r="13" spans="1:3" x14ac:dyDescent="0.25">
      <c r="A13" s="14"/>
      <c r="B13" s="14"/>
      <c r="C13" s="14"/>
    </row>
    <row r="15" spans="1:3" x14ac:dyDescent="0.25">
      <c r="A15" s="13" t="s">
        <v>10</v>
      </c>
      <c r="B15" s="14"/>
      <c r="C15" s="14"/>
    </row>
    <row r="16" spans="1:3" x14ac:dyDescent="0.25">
      <c r="A16" s="15" t="s">
        <v>11</v>
      </c>
      <c r="B16" s="14"/>
      <c r="C16" s="14"/>
    </row>
    <row r="17" spans="1:3" x14ac:dyDescent="0.25">
      <c r="A17" s="14"/>
      <c r="B17" s="14"/>
      <c r="C17" s="14"/>
    </row>
    <row r="18" spans="1:3" x14ac:dyDescent="0.25">
      <c r="A18" s="14"/>
      <c r="B18" s="14"/>
      <c r="C18" s="14"/>
    </row>
    <row r="19" spans="1:3" x14ac:dyDescent="0.25">
      <c r="A19" s="14"/>
      <c r="B19" s="14"/>
      <c r="C19" s="14"/>
    </row>
    <row r="21" spans="1:3" x14ac:dyDescent="0.25">
      <c r="A21" s="2" t="s">
        <v>12</v>
      </c>
      <c r="B21" s="2" t="s">
        <v>13</v>
      </c>
      <c r="C21" s="2" t="s">
        <v>14</v>
      </c>
    </row>
    <row r="22" spans="1:3" ht="24.75" x14ac:dyDescent="0.25">
      <c r="A22" s="3" t="s">
        <v>15</v>
      </c>
      <c r="B22" s="4">
        <v>1120</v>
      </c>
      <c r="C22" s="5" t="s">
        <v>16</v>
      </c>
    </row>
  </sheetData>
  <mergeCells count="10">
    <mergeCell ref="A4:B4"/>
    <mergeCell ref="A16:C19"/>
    <mergeCell ref="A7:B7"/>
    <mergeCell ref="A1:C1"/>
    <mergeCell ref="A10:C13"/>
    <mergeCell ref="A5:B5"/>
    <mergeCell ref="A9:C9"/>
    <mergeCell ref="A15:C15"/>
    <mergeCell ref="A3:B3"/>
    <mergeCell ref="A6:B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121"/>
  <sheetViews>
    <sheetView rightToLeft="1" tabSelected="1" topLeftCell="S1" workbookViewId="0">
      <pane ySplit="1" topLeftCell="A667" activePane="bottomLeft" state="frozen"/>
      <selection pane="bottomLeft" activeCell="AB676" sqref="AB676"/>
    </sheetView>
  </sheetViews>
  <sheetFormatPr baseColWidth="10" defaultColWidth="9.140625" defaultRowHeight="15" x14ac:dyDescent="0.25"/>
  <cols>
    <col min="1" max="1" width="8" customWidth="1"/>
    <col min="2" max="2" width="34" customWidth="1"/>
    <col min="3" max="3" width="20" customWidth="1"/>
    <col min="4" max="6" width="14" customWidth="1"/>
    <col min="7" max="7" width="12" customWidth="1"/>
    <col min="8" max="9" width="14" customWidth="1"/>
    <col min="10" max="10" width="18" customWidth="1"/>
    <col min="11" max="11" width="22" customWidth="1"/>
    <col min="12" max="12" width="26" customWidth="1"/>
    <col min="13" max="13" width="12" customWidth="1"/>
    <col min="14" max="14" width="16" customWidth="1"/>
    <col min="15" max="15" width="10" customWidth="1"/>
    <col min="16" max="16" width="40" customWidth="1"/>
    <col min="17" max="28" width="22" customWidth="1"/>
  </cols>
  <sheetData>
    <row r="1" spans="1:28" ht="33.75" customHeight="1" x14ac:dyDescent="0.25">
      <c r="A1" s="6" t="s">
        <v>17</v>
      </c>
      <c r="B1" s="6" t="s">
        <v>18</v>
      </c>
      <c r="C1" s="6" t="s">
        <v>19</v>
      </c>
      <c r="D1" s="6" t="s">
        <v>20</v>
      </c>
      <c r="E1" s="6" t="s">
        <v>21</v>
      </c>
      <c r="F1" s="6" t="s">
        <v>22</v>
      </c>
      <c r="G1" s="6" t="s">
        <v>23</v>
      </c>
      <c r="H1" s="6" t="s">
        <v>24</v>
      </c>
      <c r="I1" s="6" t="s">
        <v>25</v>
      </c>
      <c r="J1" s="6" t="s">
        <v>26</v>
      </c>
      <c r="K1" s="6" t="s">
        <v>27</v>
      </c>
      <c r="L1" s="6" t="s">
        <v>28</v>
      </c>
      <c r="M1" s="6" t="s">
        <v>29</v>
      </c>
      <c r="N1" s="6" t="s">
        <v>30</v>
      </c>
      <c r="O1" s="6" t="s">
        <v>31</v>
      </c>
      <c r="P1" s="6" t="s">
        <v>14</v>
      </c>
      <c r="Q1" s="12" t="s">
        <v>1218</v>
      </c>
      <c r="R1" s="12" t="s">
        <v>1219</v>
      </c>
      <c r="S1" s="12" t="s">
        <v>1220</v>
      </c>
      <c r="T1" s="12" t="s">
        <v>1221</v>
      </c>
      <c r="U1" s="12" t="s">
        <v>1222</v>
      </c>
      <c r="V1" s="12" t="s">
        <v>32</v>
      </c>
      <c r="W1" s="12" t="s">
        <v>1223</v>
      </c>
      <c r="X1" s="12" t="s">
        <v>33</v>
      </c>
      <c r="Y1" s="12" t="s">
        <v>1224</v>
      </c>
      <c r="Z1" s="12" t="s">
        <v>1225</v>
      </c>
      <c r="AA1" s="12" t="s">
        <v>1226</v>
      </c>
      <c r="AB1" s="12" t="s">
        <v>1227</v>
      </c>
    </row>
    <row r="2" spans="1:28" ht="25.5" x14ac:dyDescent="0.25">
      <c r="A2" s="7">
        <v>1</v>
      </c>
      <c r="B2" s="7" t="s">
        <v>15</v>
      </c>
      <c r="C2" s="7" t="s">
        <v>34</v>
      </c>
      <c r="D2" s="7" t="s">
        <v>35</v>
      </c>
      <c r="E2" s="7"/>
      <c r="F2" s="8"/>
      <c r="G2" s="7" t="s">
        <v>35</v>
      </c>
      <c r="H2" s="9">
        <v>36.878940999999998</v>
      </c>
      <c r="I2" s="9">
        <v>10.214089</v>
      </c>
      <c r="J2" s="7" t="s">
        <v>36</v>
      </c>
      <c r="K2" s="7" t="s">
        <v>37</v>
      </c>
      <c r="L2" s="7"/>
      <c r="M2" s="10">
        <v>16.21</v>
      </c>
      <c r="N2" s="7" t="s">
        <v>38</v>
      </c>
      <c r="O2" s="7"/>
      <c r="P2" s="8" t="s">
        <v>39</v>
      </c>
      <c r="Q2">
        <v>6.15</v>
      </c>
      <c r="R2">
        <v>35.700000000000003</v>
      </c>
      <c r="S2" t="s">
        <v>40</v>
      </c>
      <c r="T2">
        <v>18</v>
      </c>
      <c r="U2">
        <f t="shared" ref="U2:U65" si="0">Q2*T2</f>
        <v>110.7</v>
      </c>
      <c r="V2">
        <v>0.6</v>
      </c>
      <c r="W2">
        <v>0</v>
      </c>
      <c r="X2">
        <v>0</v>
      </c>
      <c r="Y2">
        <f t="shared" ref="Y2:Y65" si="1">W2*X2</f>
        <v>0</v>
      </c>
      <c r="Z2">
        <f t="shared" ref="Z2:Z65" si="2">U2*V2</f>
        <v>66.42</v>
      </c>
      <c r="AA2">
        <f t="shared" ref="AA2:AA65" si="3">MAX(0,Z2-Y2)</f>
        <v>66.42</v>
      </c>
      <c r="AB2">
        <f>AA2*M2</f>
        <v>1076.6682000000001</v>
      </c>
    </row>
    <row r="3" spans="1:28" ht="25.5" x14ac:dyDescent="0.25">
      <c r="A3" s="7">
        <v>2</v>
      </c>
      <c r="B3" s="7" t="s">
        <v>15</v>
      </c>
      <c r="C3" s="7" t="s">
        <v>41</v>
      </c>
      <c r="D3" s="7" t="s">
        <v>42</v>
      </c>
      <c r="E3" s="7"/>
      <c r="F3" s="8"/>
      <c r="G3" s="7" t="s">
        <v>42</v>
      </c>
      <c r="H3" s="9">
        <v>36.646735999999997</v>
      </c>
      <c r="I3" s="9">
        <v>9.6324740000000002</v>
      </c>
      <c r="J3" s="7" t="s">
        <v>43</v>
      </c>
      <c r="K3" s="7" t="s">
        <v>37</v>
      </c>
      <c r="L3" s="7"/>
      <c r="M3" s="10">
        <v>21.98</v>
      </c>
      <c r="N3" s="7" t="s">
        <v>44</v>
      </c>
      <c r="O3" s="7"/>
      <c r="P3" s="8" t="s">
        <v>39</v>
      </c>
      <c r="Q3">
        <v>6.26</v>
      </c>
      <c r="R3">
        <v>39.799999999999997</v>
      </c>
      <c r="S3" t="s">
        <v>40</v>
      </c>
      <c r="T3">
        <v>18</v>
      </c>
      <c r="U3">
        <f t="shared" si="0"/>
        <v>112.67999999999999</v>
      </c>
      <c r="V3">
        <v>0.6</v>
      </c>
      <c r="W3">
        <v>160</v>
      </c>
      <c r="X3">
        <v>0.35</v>
      </c>
      <c r="Y3">
        <f t="shared" si="1"/>
        <v>56</v>
      </c>
      <c r="Z3">
        <f t="shared" si="2"/>
        <v>67.60799999999999</v>
      </c>
      <c r="AA3">
        <f t="shared" si="3"/>
        <v>11.60799999999999</v>
      </c>
      <c r="AB3">
        <f t="shared" ref="AB3:AB66" si="4">AA3*M3</f>
        <v>255.14383999999978</v>
      </c>
    </row>
    <row r="4" spans="1:28" ht="25.5" x14ac:dyDescent="0.25">
      <c r="A4" s="7">
        <v>3</v>
      </c>
      <c r="B4" s="7" t="s">
        <v>15</v>
      </c>
      <c r="C4" s="7" t="s">
        <v>45</v>
      </c>
      <c r="D4" s="7" t="s">
        <v>46</v>
      </c>
      <c r="E4" s="7"/>
      <c r="F4" s="8"/>
      <c r="G4" s="7" t="s">
        <v>46</v>
      </c>
      <c r="H4" s="9">
        <v>36.604094000000003</v>
      </c>
      <c r="I4" s="9">
        <v>10.311519000000001</v>
      </c>
      <c r="J4" s="7" t="s">
        <v>47</v>
      </c>
      <c r="K4" s="7" t="s">
        <v>37</v>
      </c>
      <c r="L4" s="7"/>
      <c r="M4" s="10">
        <v>7.71</v>
      </c>
      <c r="N4" s="7" t="s">
        <v>48</v>
      </c>
      <c r="O4" s="7"/>
      <c r="P4" s="8" t="s">
        <v>39</v>
      </c>
      <c r="Q4">
        <v>5.27</v>
      </c>
      <c r="R4">
        <v>35</v>
      </c>
      <c r="S4" t="s">
        <v>40</v>
      </c>
      <c r="T4">
        <v>16</v>
      </c>
      <c r="U4">
        <f t="shared" si="0"/>
        <v>84.32</v>
      </c>
      <c r="V4">
        <v>0.54</v>
      </c>
      <c r="W4">
        <v>0</v>
      </c>
      <c r="X4">
        <v>0</v>
      </c>
      <c r="Y4">
        <f t="shared" si="1"/>
        <v>0</v>
      </c>
      <c r="Z4">
        <f t="shared" si="2"/>
        <v>45.532800000000002</v>
      </c>
      <c r="AA4">
        <f t="shared" si="3"/>
        <v>45.532800000000002</v>
      </c>
      <c r="AB4">
        <f t="shared" si="4"/>
        <v>351.05788799999999</v>
      </c>
    </row>
    <row r="5" spans="1:28" ht="25.5" x14ac:dyDescent="0.25">
      <c r="A5" s="7">
        <v>4</v>
      </c>
      <c r="B5" s="7" t="s">
        <v>15</v>
      </c>
      <c r="C5" s="7" t="s">
        <v>49</v>
      </c>
      <c r="D5" s="7" t="s">
        <v>50</v>
      </c>
      <c r="E5" s="7"/>
      <c r="F5" s="8"/>
      <c r="G5" s="7" t="s">
        <v>50</v>
      </c>
      <c r="H5" s="9">
        <v>37.174446000000003</v>
      </c>
      <c r="I5" s="9">
        <v>9.8091849999999994</v>
      </c>
      <c r="J5" s="7" t="s">
        <v>51</v>
      </c>
      <c r="K5" s="7" t="s">
        <v>37</v>
      </c>
      <c r="L5" s="7"/>
      <c r="M5" s="10">
        <v>1.48</v>
      </c>
      <c r="N5" s="7" t="s">
        <v>52</v>
      </c>
      <c r="O5" s="7"/>
      <c r="P5" s="8" t="s">
        <v>39</v>
      </c>
      <c r="Q5">
        <v>2.5099999999999998</v>
      </c>
      <c r="R5">
        <v>16.8</v>
      </c>
      <c r="S5" t="s">
        <v>53</v>
      </c>
      <c r="T5">
        <v>12</v>
      </c>
      <c r="U5">
        <f t="shared" si="0"/>
        <v>30.119999999999997</v>
      </c>
      <c r="V5">
        <v>1.26</v>
      </c>
      <c r="W5">
        <v>120</v>
      </c>
      <c r="X5">
        <v>0.35</v>
      </c>
      <c r="Y5">
        <f t="shared" si="1"/>
        <v>42</v>
      </c>
      <c r="Z5">
        <f t="shared" si="2"/>
        <v>37.9512</v>
      </c>
      <c r="AA5">
        <f t="shared" si="3"/>
        <v>0</v>
      </c>
      <c r="AB5">
        <f t="shared" si="4"/>
        <v>0</v>
      </c>
    </row>
    <row r="6" spans="1:28" ht="25.5" x14ac:dyDescent="0.25">
      <c r="A6" s="7">
        <v>5</v>
      </c>
      <c r="B6" s="7" t="s">
        <v>15</v>
      </c>
      <c r="C6" s="7" t="s">
        <v>54</v>
      </c>
      <c r="D6" s="7" t="s">
        <v>55</v>
      </c>
      <c r="E6" s="7"/>
      <c r="F6" s="8"/>
      <c r="G6" s="7" t="s">
        <v>55</v>
      </c>
      <c r="H6" s="9">
        <v>33.617862000000002</v>
      </c>
      <c r="I6" s="9">
        <v>10.302958</v>
      </c>
      <c r="J6" s="7" t="s">
        <v>56</v>
      </c>
      <c r="K6" s="7" t="s">
        <v>37</v>
      </c>
      <c r="L6" s="7"/>
      <c r="M6" s="10">
        <v>0.81</v>
      </c>
      <c r="N6" s="7" t="s">
        <v>57</v>
      </c>
      <c r="O6" s="7"/>
      <c r="P6" s="8" t="s">
        <v>39</v>
      </c>
      <c r="Q6">
        <v>6.33</v>
      </c>
      <c r="R6">
        <v>26</v>
      </c>
      <c r="S6" t="s">
        <v>58</v>
      </c>
      <c r="T6">
        <v>8</v>
      </c>
      <c r="U6">
        <f t="shared" si="0"/>
        <v>50.64</v>
      </c>
      <c r="V6">
        <v>1.08</v>
      </c>
      <c r="W6">
        <v>120</v>
      </c>
      <c r="X6">
        <v>0.35</v>
      </c>
      <c r="Y6">
        <f t="shared" si="1"/>
        <v>42</v>
      </c>
      <c r="Z6">
        <f t="shared" si="2"/>
        <v>54.691200000000002</v>
      </c>
      <c r="AA6">
        <f t="shared" si="3"/>
        <v>12.691200000000002</v>
      </c>
      <c r="AB6">
        <f t="shared" si="4"/>
        <v>10.279872000000003</v>
      </c>
    </row>
    <row r="7" spans="1:28" ht="25.5" x14ac:dyDescent="0.25">
      <c r="A7" s="7">
        <v>6</v>
      </c>
      <c r="B7" s="7" t="s">
        <v>15</v>
      </c>
      <c r="C7" s="7" t="s">
        <v>59</v>
      </c>
      <c r="D7" s="7" t="s">
        <v>60</v>
      </c>
      <c r="E7" s="7"/>
      <c r="F7" s="8"/>
      <c r="G7" s="7" t="s">
        <v>60</v>
      </c>
      <c r="H7" s="9">
        <v>34.326774999999998</v>
      </c>
      <c r="I7" s="9">
        <v>8.4107710000000004</v>
      </c>
      <c r="J7" s="7" t="s">
        <v>61</v>
      </c>
      <c r="K7" s="7" t="s">
        <v>37</v>
      </c>
      <c r="L7" s="7"/>
      <c r="M7" s="10">
        <v>4.54</v>
      </c>
      <c r="N7" s="7" t="s">
        <v>62</v>
      </c>
      <c r="O7" s="7"/>
      <c r="P7" s="8" t="s">
        <v>39</v>
      </c>
      <c r="Q7">
        <v>2.54</v>
      </c>
      <c r="R7">
        <v>20.6</v>
      </c>
      <c r="S7" t="s">
        <v>53</v>
      </c>
      <c r="T7">
        <v>7</v>
      </c>
      <c r="U7">
        <f t="shared" si="0"/>
        <v>17.78</v>
      </c>
      <c r="V7">
        <v>1.26</v>
      </c>
      <c r="W7">
        <v>0</v>
      </c>
      <c r="X7">
        <v>0</v>
      </c>
      <c r="Y7">
        <f t="shared" si="1"/>
        <v>0</v>
      </c>
      <c r="Z7">
        <f t="shared" si="2"/>
        <v>22.402800000000003</v>
      </c>
      <c r="AA7">
        <f t="shared" si="3"/>
        <v>22.402800000000003</v>
      </c>
      <c r="AB7">
        <f t="shared" si="4"/>
        <v>101.70871200000002</v>
      </c>
    </row>
    <row r="8" spans="1:28" ht="25.5" x14ac:dyDescent="0.25">
      <c r="A8" s="7">
        <v>7</v>
      </c>
      <c r="B8" s="7" t="s">
        <v>15</v>
      </c>
      <c r="C8" s="7" t="s">
        <v>63</v>
      </c>
      <c r="D8" s="7" t="s">
        <v>64</v>
      </c>
      <c r="E8" s="7"/>
      <c r="F8" s="8"/>
      <c r="G8" s="7" t="s">
        <v>64</v>
      </c>
      <c r="H8" s="9">
        <v>36.941204999999997</v>
      </c>
      <c r="I8" s="9">
        <v>8.7747469999999996</v>
      </c>
      <c r="J8" s="7" t="s">
        <v>65</v>
      </c>
      <c r="K8" s="7" t="s">
        <v>37</v>
      </c>
      <c r="L8" s="7"/>
      <c r="M8" s="10">
        <v>8.19</v>
      </c>
      <c r="N8" s="7" t="s">
        <v>66</v>
      </c>
      <c r="O8" s="7"/>
      <c r="P8" s="8" t="s">
        <v>39</v>
      </c>
      <c r="Q8">
        <v>3.37</v>
      </c>
      <c r="R8">
        <v>20.399999999999999</v>
      </c>
      <c r="S8" t="s">
        <v>53</v>
      </c>
      <c r="T8">
        <v>10</v>
      </c>
      <c r="U8">
        <f t="shared" si="0"/>
        <v>33.700000000000003</v>
      </c>
      <c r="V8">
        <v>0.92</v>
      </c>
      <c r="W8">
        <v>160</v>
      </c>
      <c r="X8">
        <v>0.35</v>
      </c>
      <c r="Y8">
        <f t="shared" si="1"/>
        <v>56</v>
      </c>
      <c r="Z8">
        <f t="shared" si="2"/>
        <v>31.004000000000005</v>
      </c>
      <c r="AA8">
        <f t="shared" si="3"/>
        <v>0</v>
      </c>
      <c r="AB8">
        <f t="shared" si="4"/>
        <v>0</v>
      </c>
    </row>
    <row r="9" spans="1:28" ht="25.5" x14ac:dyDescent="0.25">
      <c r="A9" s="7">
        <v>8</v>
      </c>
      <c r="B9" s="7" t="s">
        <v>15</v>
      </c>
      <c r="C9" s="7" t="s">
        <v>67</v>
      </c>
      <c r="D9" s="7" t="s">
        <v>68</v>
      </c>
      <c r="E9" s="7"/>
      <c r="F9" s="8"/>
      <c r="G9" s="7" t="s">
        <v>68</v>
      </c>
      <c r="H9" s="9">
        <v>35.617539999999998</v>
      </c>
      <c r="I9" s="9">
        <v>9.8927340000000008</v>
      </c>
      <c r="J9" s="7" t="s">
        <v>69</v>
      </c>
      <c r="K9" s="7" t="s">
        <v>37</v>
      </c>
      <c r="L9" s="7"/>
      <c r="M9" s="10">
        <v>20.3</v>
      </c>
      <c r="N9" s="7" t="s">
        <v>70</v>
      </c>
      <c r="O9" s="7"/>
      <c r="P9" s="8" t="s">
        <v>39</v>
      </c>
      <c r="Q9">
        <v>4.6900000000000004</v>
      </c>
      <c r="R9">
        <v>20.6</v>
      </c>
      <c r="S9" t="s">
        <v>53</v>
      </c>
      <c r="T9">
        <v>9</v>
      </c>
      <c r="U9">
        <f t="shared" si="0"/>
        <v>42.21</v>
      </c>
      <c r="V9">
        <v>1.03</v>
      </c>
      <c r="W9">
        <v>0</v>
      </c>
      <c r="X9">
        <v>0</v>
      </c>
      <c r="Y9">
        <f t="shared" si="1"/>
        <v>0</v>
      </c>
      <c r="Z9">
        <f t="shared" si="2"/>
        <v>43.476300000000002</v>
      </c>
      <c r="AA9">
        <f t="shared" si="3"/>
        <v>43.476300000000002</v>
      </c>
      <c r="AB9">
        <f t="shared" si="4"/>
        <v>882.56889000000012</v>
      </c>
    </row>
    <row r="10" spans="1:28" ht="25.5" x14ac:dyDescent="0.25">
      <c r="A10" s="7">
        <v>9</v>
      </c>
      <c r="B10" s="7" t="s">
        <v>15</v>
      </c>
      <c r="C10" s="7" t="s">
        <v>71</v>
      </c>
      <c r="D10" s="7" t="s">
        <v>72</v>
      </c>
      <c r="E10" s="7"/>
      <c r="F10" s="8"/>
      <c r="G10" s="7" t="s">
        <v>72</v>
      </c>
      <c r="H10" s="9">
        <v>35.215026999999999</v>
      </c>
      <c r="I10" s="9">
        <v>9.1108899999999995</v>
      </c>
      <c r="J10" s="7" t="s">
        <v>73</v>
      </c>
      <c r="K10" s="7" t="s">
        <v>37</v>
      </c>
      <c r="L10" s="7"/>
      <c r="M10" s="10">
        <v>0.75</v>
      </c>
      <c r="N10" s="7" t="s">
        <v>74</v>
      </c>
      <c r="O10" s="7"/>
      <c r="P10" s="8" t="s">
        <v>39</v>
      </c>
      <c r="Q10">
        <v>3.86</v>
      </c>
      <c r="R10">
        <v>15.2</v>
      </c>
      <c r="S10" t="s">
        <v>53</v>
      </c>
      <c r="T10">
        <v>10</v>
      </c>
      <c r="U10">
        <f t="shared" si="0"/>
        <v>38.6</v>
      </c>
      <c r="V10">
        <v>1.03</v>
      </c>
      <c r="W10">
        <v>160</v>
      </c>
      <c r="X10">
        <v>0.35</v>
      </c>
      <c r="Y10">
        <f t="shared" si="1"/>
        <v>56</v>
      </c>
      <c r="Z10">
        <f t="shared" si="2"/>
        <v>39.758000000000003</v>
      </c>
      <c r="AA10">
        <f t="shared" si="3"/>
        <v>0</v>
      </c>
      <c r="AB10">
        <f t="shared" si="4"/>
        <v>0</v>
      </c>
    </row>
    <row r="11" spans="1:28" ht="25.5" x14ac:dyDescent="0.25">
      <c r="A11" s="7">
        <v>10</v>
      </c>
      <c r="B11" s="7" t="s">
        <v>15</v>
      </c>
      <c r="C11" s="7" t="s">
        <v>75</v>
      </c>
      <c r="D11" s="7" t="s">
        <v>76</v>
      </c>
      <c r="E11" s="7"/>
      <c r="F11" s="8"/>
      <c r="G11" s="7" t="s">
        <v>76</v>
      </c>
      <c r="H11" s="9">
        <v>33.453198999999998</v>
      </c>
      <c r="I11" s="9">
        <v>9.0175409999999996</v>
      </c>
      <c r="J11" s="7" t="s">
        <v>77</v>
      </c>
      <c r="K11" s="7" t="s">
        <v>37</v>
      </c>
      <c r="L11" s="7"/>
      <c r="M11" s="10">
        <v>8.67</v>
      </c>
      <c r="N11" s="7" t="s">
        <v>78</v>
      </c>
      <c r="O11" s="7"/>
      <c r="P11" s="8" t="s">
        <v>39</v>
      </c>
      <c r="Q11">
        <v>6.36</v>
      </c>
      <c r="R11">
        <v>31.4</v>
      </c>
      <c r="S11" t="s">
        <v>58</v>
      </c>
      <c r="T11">
        <v>14</v>
      </c>
      <c r="U11">
        <f t="shared" si="0"/>
        <v>89.04</v>
      </c>
      <c r="V11">
        <v>0.9</v>
      </c>
      <c r="W11">
        <v>0</v>
      </c>
      <c r="X11">
        <v>0</v>
      </c>
      <c r="Y11">
        <f t="shared" si="1"/>
        <v>0</v>
      </c>
      <c r="Z11">
        <f t="shared" si="2"/>
        <v>80.13600000000001</v>
      </c>
      <c r="AA11">
        <f t="shared" si="3"/>
        <v>80.13600000000001</v>
      </c>
      <c r="AB11">
        <f t="shared" si="4"/>
        <v>694.77912000000003</v>
      </c>
    </row>
    <row r="12" spans="1:28" ht="25.5" x14ac:dyDescent="0.25">
      <c r="A12" s="7">
        <v>11</v>
      </c>
      <c r="B12" s="7" t="s">
        <v>15</v>
      </c>
      <c r="C12" s="7" t="s">
        <v>79</v>
      </c>
      <c r="D12" s="7" t="s">
        <v>80</v>
      </c>
      <c r="E12" s="7"/>
      <c r="F12" s="8"/>
      <c r="G12" s="7" t="s">
        <v>80</v>
      </c>
      <c r="H12" s="9">
        <v>35.952370000000002</v>
      </c>
      <c r="I12" s="9">
        <v>8.8096379999999996</v>
      </c>
      <c r="J12" s="7" t="s">
        <v>81</v>
      </c>
      <c r="K12" s="7" t="s">
        <v>37</v>
      </c>
      <c r="L12" s="7"/>
      <c r="M12" s="10">
        <v>18.95</v>
      </c>
      <c r="N12" s="7" t="s">
        <v>38</v>
      </c>
      <c r="O12" s="7"/>
      <c r="P12" s="8" t="s">
        <v>39</v>
      </c>
      <c r="Q12">
        <v>5.63</v>
      </c>
      <c r="R12">
        <v>18.399999999999999</v>
      </c>
      <c r="S12" t="s">
        <v>53</v>
      </c>
      <c r="T12">
        <v>18</v>
      </c>
      <c r="U12">
        <f t="shared" si="0"/>
        <v>101.34</v>
      </c>
      <c r="V12">
        <v>1.1499999999999999</v>
      </c>
      <c r="W12">
        <v>0</v>
      </c>
      <c r="X12">
        <v>0</v>
      </c>
      <c r="Y12">
        <f t="shared" si="1"/>
        <v>0</v>
      </c>
      <c r="Z12">
        <f t="shared" si="2"/>
        <v>116.541</v>
      </c>
      <c r="AA12">
        <f t="shared" si="3"/>
        <v>116.541</v>
      </c>
      <c r="AB12">
        <f t="shared" si="4"/>
        <v>2208.4519499999997</v>
      </c>
    </row>
    <row r="13" spans="1:28" ht="25.5" x14ac:dyDescent="0.25">
      <c r="A13" s="7">
        <v>12</v>
      </c>
      <c r="B13" s="7" t="s">
        <v>15</v>
      </c>
      <c r="C13" s="7" t="s">
        <v>82</v>
      </c>
      <c r="D13" s="7" t="s">
        <v>83</v>
      </c>
      <c r="E13" s="7"/>
      <c r="F13" s="8"/>
      <c r="G13" s="7" t="s">
        <v>83</v>
      </c>
      <c r="H13" s="9">
        <v>35.249406999999998</v>
      </c>
      <c r="I13" s="9">
        <v>11.126733</v>
      </c>
      <c r="J13" s="7" t="s">
        <v>84</v>
      </c>
      <c r="K13" s="7" t="s">
        <v>37</v>
      </c>
      <c r="L13" s="7"/>
      <c r="M13" s="10">
        <v>13.01</v>
      </c>
      <c r="N13" s="7" t="s">
        <v>44</v>
      </c>
      <c r="O13" s="7"/>
      <c r="P13" s="8" t="s">
        <v>39</v>
      </c>
      <c r="Q13">
        <v>3.68</v>
      </c>
      <c r="R13">
        <v>22.9</v>
      </c>
      <c r="S13" t="s">
        <v>53</v>
      </c>
      <c r="T13">
        <v>18</v>
      </c>
      <c r="U13">
        <f t="shared" si="0"/>
        <v>66.240000000000009</v>
      </c>
      <c r="V13">
        <v>1.1499999999999999</v>
      </c>
      <c r="W13">
        <v>50</v>
      </c>
      <c r="X13">
        <v>0.35</v>
      </c>
      <c r="Y13">
        <f t="shared" si="1"/>
        <v>17.5</v>
      </c>
      <c r="Z13">
        <f t="shared" si="2"/>
        <v>76.176000000000002</v>
      </c>
      <c r="AA13">
        <f t="shared" si="3"/>
        <v>58.676000000000002</v>
      </c>
      <c r="AB13">
        <f t="shared" si="4"/>
        <v>763.37476000000004</v>
      </c>
    </row>
    <row r="14" spans="1:28" ht="25.5" x14ac:dyDescent="0.25">
      <c r="A14" s="7">
        <v>13</v>
      </c>
      <c r="B14" s="7" t="s">
        <v>15</v>
      </c>
      <c r="C14" s="7" t="s">
        <v>85</v>
      </c>
      <c r="D14" s="7" t="s">
        <v>86</v>
      </c>
      <c r="E14" s="7"/>
      <c r="F14" s="8"/>
      <c r="G14" s="7" t="s">
        <v>86</v>
      </c>
      <c r="H14" s="9">
        <v>36.813971000000002</v>
      </c>
      <c r="I14" s="9">
        <v>9.8324979999999993</v>
      </c>
      <c r="J14" s="7" t="s">
        <v>87</v>
      </c>
      <c r="K14" s="7" t="s">
        <v>37</v>
      </c>
      <c r="L14" s="7"/>
      <c r="M14" s="10">
        <v>7.23</v>
      </c>
      <c r="N14" s="7" t="s">
        <v>48</v>
      </c>
      <c r="O14" s="7"/>
      <c r="P14" s="8" t="s">
        <v>39</v>
      </c>
      <c r="Q14">
        <v>1.98</v>
      </c>
      <c r="R14">
        <v>35.9</v>
      </c>
      <c r="S14" t="s">
        <v>40</v>
      </c>
      <c r="T14">
        <v>16</v>
      </c>
      <c r="U14">
        <f t="shared" si="0"/>
        <v>31.68</v>
      </c>
      <c r="V14">
        <v>0.54</v>
      </c>
      <c r="W14">
        <v>0</v>
      </c>
      <c r="X14">
        <v>0</v>
      </c>
      <c r="Y14">
        <f t="shared" si="1"/>
        <v>0</v>
      </c>
      <c r="Z14">
        <f t="shared" si="2"/>
        <v>17.107200000000002</v>
      </c>
      <c r="AA14">
        <f t="shared" si="3"/>
        <v>17.107200000000002</v>
      </c>
      <c r="AB14">
        <f t="shared" si="4"/>
        <v>123.68505600000003</v>
      </c>
    </row>
    <row r="15" spans="1:28" ht="25.5" x14ac:dyDescent="0.25">
      <c r="A15" s="7">
        <v>14</v>
      </c>
      <c r="B15" s="7" t="s">
        <v>15</v>
      </c>
      <c r="C15" s="7" t="s">
        <v>88</v>
      </c>
      <c r="D15" s="7" t="s">
        <v>89</v>
      </c>
      <c r="E15" s="7"/>
      <c r="F15" s="8"/>
      <c r="G15" s="7" t="s">
        <v>89</v>
      </c>
      <c r="H15" s="9">
        <v>33.799931000000001</v>
      </c>
      <c r="I15" s="9">
        <v>10.996059000000001</v>
      </c>
      <c r="J15" s="7" t="s">
        <v>90</v>
      </c>
      <c r="K15" s="7" t="s">
        <v>37</v>
      </c>
      <c r="L15" s="7"/>
      <c r="M15" s="10">
        <v>24.49</v>
      </c>
      <c r="N15" s="7" t="s">
        <v>52</v>
      </c>
      <c r="O15" s="7"/>
      <c r="P15" s="8" t="s">
        <v>39</v>
      </c>
      <c r="Q15">
        <v>5.92</v>
      </c>
      <c r="R15">
        <v>14</v>
      </c>
      <c r="S15" t="s">
        <v>91</v>
      </c>
      <c r="T15">
        <v>12</v>
      </c>
      <c r="U15">
        <f t="shared" si="0"/>
        <v>71.039999999999992</v>
      </c>
      <c r="V15">
        <v>1.49</v>
      </c>
      <c r="W15">
        <v>0</v>
      </c>
      <c r="X15">
        <v>0</v>
      </c>
      <c r="Y15">
        <f t="shared" si="1"/>
        <v>0</v>
      </c>
      <c r="Z15">
        <f t="shared" si="2"/>
        <v>105.84959999999998</v>
      </c>
      <c r="AA15">
        <f t="shared" si="3"/>
        <v>105.84959999999998</v>
      </c>
      <c r="AB15">
        <f t="shared" si="4"/>
        <v>2592.2567039999994</v>
      </c>
    </row>
    <row r="16" spans="1:28" ht="25.5" x14ac:dyDescent="0.25">
      <c r="A16" s="7">
        <v>15</v>
      </c>
      <c r="B16" s="7" t="s">
        <v>15</v>
      </c>
      <c r="C16" s="7" t="s">
        <v>92</v>
      </c>
      <c r="D16" s="7" t="s">
        <v>93</v>
      </c>
      <c r="E16" s="7"/>
      <c r="F16" s="8"/>
      <c r="G16" s="7" t="s">
        <v>93</v>
      </c>
      <c r="H16" s="9">
        <v>35.638953000000001</v>
      </c>
      <c r="I16" s="9">
        <v>10.764604</v>
      </c>
      <c r="J16" s="7" t="s">
        <v>94</v>
      </c>
      <c r="K16" s="7" t="s">
        <v>37</v>
      </c>
      <c r="L16" s="7"/>
      <c r="M16" s="10">
        <v>19.649999999999999</v>
      </c>
      <c r="N16" s="7" t="s">
        <v>57</v>
      </c>
      <c r="O16" s="7"/>
      <c r="P16" s="8" t="s">
        <v>39</v>
      </c>
      <c r="Q16">
        <v>2.42</v>
      </c>
      <c r="R16">
        <v>33.799999999999997</v>
      </c>
      <c r="S16" t="s">
        <v>58</v>
      </c>
      <c r="T16">
        <v>8</v>
      </c>
      <c r="U16">
        <f t="shared" si="0"/>
        <v>19.36</v>
      </c>
      <c r="V16">
        <v>1.08</v>
      </c>
      <c r="W16">
        <v>160</v>
      </c>
      <c r="X16">
        <v>0.35</v>
      </c>
      <c r="Y16">
        <f t="shared" si="1"/>
        <v>56</v>
      </c>
      <c r="Z16">
        <f t="shared" si="2"/>
        <v>20.908799999999999</v>
      </c>
      <c r="AA16">
        <f t="shared" si="3"/>
        <v>0</v>
      </c>
      <c r="AB16">
        <f t="shared" si="4"/>
        <v>0</v>
      </c>
    </row>
    <row r="17" spans="1:28" ht="25.5" x14ac:dyDescent="0.25">
      <c r="A17" s="7">
        <v>16</v>
      </c>
      <c r="B17" s="7" t="s">
        <v>15</v>
      </c>
      <c r="C17" s="7" t="s">
        <v>95</v>
      </c>
      <c r="D17" s="7" t="s">
        <v>96</v>
      </c>
      <c r="E17" s="7"/>
      <c r="F17" s="8"/>
      <c r="G17" s="7" t="s">
        <v>96</v>
      </c>
      <c r="H17" s="9">
        <v>36.587802000000003</v>
      </c>
      <c r="I17" s="9">
        <v>10.877463000000001</v>
      </c>
      <c r="J17" s="7" t="s">
        <v>97</v>
      </c>
      <c r="K17" s="7" t="s">
        <v>37</v>
      </c>
      <c r="L17" s="7"/>
      <c r="M17" s="10">
        <v>22.14</v>
      </c>
      <c r="N17" s="7" t="s">
        <v>62</v>
      </c>
      <c r="O17" s="7"/>
      <c r="P17" s="8" t="s">
        <v>39</v>
      </c>
      <c r="Q17">
        <v>4.0599999999999996</v>
      </c>
      <c r="R17">
        <v>16.2</v>
      </c>
      <c r="S17" t="s">
        <v>53</v>
      </c>
      <c r="T17">
        <v>7</v>
      </c>
      <c r="U17">
        <f t="shared" si="0"/>
        <v>28.419999999999998</v>
      </c>
      <c r="V17">
        <v>1.26</v>
      </c>
      <c r="W17">
        <v>50</v>
      </c>
      <c r="X17">
        <v>0.35</v>
      </c>
      <c r="Y17">
        <f t="shared" si="1"/>
        <v>17.5</v>
      </c>
      <c r="Z17">
        <f t="shared" si="2"/>
        <v>35.809199999999997</v>
      </c>
      <c r="AA17">
        <f t="shared" si="3"/>
        <v>18.309199999999997</v>
      </c>
      <c r="AB17">
        <f t="shared" si="4"/>
        <v>405.36568799999992</v>
      </c>
    </row>
    <row r="18" spans="1:28" ht="25.5" x14ac:dyDescent="0.25">
      <c r="A18" s="7">
        <v>17</v>
      </c>
      <c r="B18" s="7" t="s">
        <v>15</v>
      </c>
      <c r="C18" s="7" t="s">
        <v>98</v>
      </c>
      <c r="D18" s="7" t="s">
        <v>99</v>
      </c>
      <c r="E18" s="7"/>
      <c r="F18" s="8"/>
      <c r="G18" s="7" t="s">
        <v>99</v>
      </c>
      <c r="H18" s="9">
        <v>34.742980000000003</v>
      </c>
      <c r="I18" s="9">
        <v>10.502551</v>
      </c>
      <c r="J18" s="7" t="s">
        <v>100</v>
      </c>
      <c r="K18" s="7" t="s">
        <v>37</v>
      </c>
      <c r="L18" s="7"/>
      <c r="M18" s="10">
        <v>24.07</v>
      </c>
      <c r="N18" s="7" t="s">
        <v>66</v>
      </c>
      <c r="O18" s="7"/>
      <c r="P18" s="8" t="s">
        <v>39</v>
      </c>
      <c r="Q18">
        <v>3.22</v>
      </c>
      <c r="R18">
        <v>31.7</v>
      </c>
      <c r="S18" t="s">
        <v>58</v>
      </c>
      <c r="T18">
        <v>10</v>
      </c>
      <c r="U18">
        <f t="shared" si="0"/>
        <v>32.200000000000003</v>
      </c>
      <c r="V18">
        <v>0.72</v>
      </c>
      <c r="W18">
        <v>160</v>
      </c>
      <c r="X18">
        <v>0.35</v>
      </c>
      <c r="Y18">
        <f t="shared" si="1"/>
        <v>56</v>
      </c>
      <c r="Z18">
        <f t="shared" si="2"/>
        <v>23.184000000000001</v>
      </c>
      <c r="AA18">
        <f t="shared" si="3"/>
        <v>0</v>
      </c>
      <c r="AB18">
        <f t="shared" si="4"/>
        <v>0</v>
      </c>
    </row>
    <row r="19" spans="1:28" ht="25.5" x14ac:dyDescent="0.25">
      <c r="A19" s="7">
        <v>18</v>
      </c>
      <c r="B19" s="7" t="s">
        <v>15</v>
      </c>
      <c r="C19" s="7" t="s">
        <v>101</v>
      </c>
      <c r="D19" s="7" t="s">
        <v>102</v>
      </c>
      <c r="E19" s="7"/>
      <c r="F19" s="8"/>
      <c r="G19" s="7" t="s">
        <v>102</v>
      </c>
      <c r="H19" s="9">
        <v>34.926253000000003</v>
      </c>
      <c r="I19" s="9">
        <v>9.7725349999999995</v>
      </c>
      <c r="J19" s="7" t="s">
        <v>103</v>
      </c>
      <c r="K19" s="7" t="s">
        <v>37</v>
      </c>
      <c r="L19" s="7"/>
      <c r="M19" s="10">
        <v>19.420000000000002</v>
      </c>
      <c r="N19" s="7" t="s">
        <v>70</v>
      </c>
      <c r="O19" s="7"/>
      <c r="P19" s="8" t="s">
        <v>39</v>
      </c>
      <c r="Q19">
        <v>3.52</v>
      </c>
      <c r="R19">
        <v>32.9</v>
      </c>
      <c r="S19" t="s">
        <v>58</v>
      </c>
      <c r="T19">
        <v>9</v>
      </c>
      <c r="U19">
        <f t="shared" si="0"/>
        <v>31.68</v>
      </c>
      <c r="V19">
        <v>0.81</v>
      </c>
      <c r="W19">
        <v>50</v>
      </c>
      <c r="X19">
        <v>0.35</v>
      </c>
      <c r="Y19">
        <f t="shared" si="1"/>
        <v>17.5</v>
      </c>
      <c r="Z19">
        <f t="shared" si="2"/>
        <v>25.660800000000002</v>
      </c>
      <c r="AA19">
        <f t="shared" si="3"/>
        <v>8.1608000000000018</v>
      </c>
      <c r="AB19">
        <f t="shared" si="4"/>
        <v>158.48273600000005</v>
      </c>
    </row>
    <row r="20" spans="1:28" ht="25.5" x14ac:dyDescent="0.25">
      <c r="A20" s="7">
        <v>19</v>
      </c>
      <c r="B20" s="7" t="s">
        <v>15</v>
      </c>
      <c r="C20" s="7" t="s">
        <v>104</v>
      </c>
      <c r="D20" s="7" t="s">
        <v>105</v>
      </c>
      <c r="E20" s="7"/>
      <c r="F20" s="8"/>
      <c r="G20" s="7" t="s">
        <v>105</v>
      </c>
      <c r="H20" s="9">
        <v>35.863273999999997</v>
      </c>
      <c r="I20" s="9">
        <v>9.190429</v>
      </c>
      <c r="J20" s="7" t="s">
        <v>106</v>
      </c>
      <c r="K20" s="7" t="s">
        <v>37</v>
      </c>
      <c r="L20" s="7"/>
      <c r="M20" s="10">
        <v>24.38</v>
      </c>
      <c r="N20" s="7" t="s">
        <v>74</v>
      </c>
      <c r="O20" s="7"/>
      <c r="P20" s="8" t="s">
        <v>39</v>
      </c>
      <c r="Q20">
        <v>4.25</v>
      </c>
      <c r="R20">
        <v>14.5</v>
      </c>
      <c r="S20" t="s">
        <v>91</v>
      </c>
      <c r="T20">
        <v>10</v>
      </c>
      <c r="U20">
        <f t="shared" si="0"/>
        <v>42.5</v>
      </c>
      <c r="V20">
        <v>1.22</v>
      </c>
      <c r="W20">
        <v>0</v>
      </c>
      <c r="X20">
        <v>0</v>
      </c>
      <c r="Y20">
        <f t="shared" si="1"/>
        <v>0</v>
      </c>
      <c r="Z20">
        <f t="shared" si="2"/>
        <v>51.85</v>
      </c>
      <c r="AA20">
        <f t="shared" si="3"/>
        <v>51.85</v>
      </c>
      <c r="AB20">
        <f t="shared" si="4"/>
        <v>1264.1030000000001</v>
      </c>
    </row>
    <row r="21" spans="1:28" ht="25.5" x14ac:dyDescent="0.25">
      <c r="A21" s="7">
        <v>20</v>
      </c>
      <c r="B21" s="7" t="s">
        <v>15</v>
      </c>
      <c r="C21" s="7" t="s">
        <v>107</v>
      </c>
      <c r="D21" s="7" t="s">
        <v>108</v>
      </c>
      <c r="E21" s="7"/>
      <c r="F21" s="8"/>
      <c r="G21" s="7" t="s">
        <v>108</v>
      </c>
      <c r="H21" s="9">
        <v>36.143576000000003</v>
      </c>
      <c r="I21" s="9">
        <v>10.376287</v>
      </c>
      <c r="J21" s="7" t="s">
        <v>109</v>
      </c>
      <c r="K21" s="7" t="s">
        <v>37</v>
      </c>
      <c r="L21" s="7"/>
      <c r="M21" s="10">
        <v>8.08</v>
      </c>
      <c r="N21" s="7" t="s">
        <v>78</v>
      </c>
      <c r="O21" s="7"/>
      <c r="P21" s="8" t="s">
        <v>39</v>
      </c>
      <c r="Q21">
        <v>5.55</v>
      </c>
      <c r="R21">
        <v>20.5</v>
      </c>
      <c r="S21" t="s">
        <v>53</v>
      </c>
      <c r="T21">
        <v>14</v>
      </c>
      <c r="U21">
        <f t="shared" si="0"/>
        <v>77.7</v>
      </c>
      <c r="V21">
        <v>1.1499999999999999</v>
      </c>
      <c r="W21">
        <v>0</v>
      </c>
      <c r="X21">
        <v>0</v>
      </c>
      <c r="Y21">
        <f t="shared" si="1"/>
        <v>0</v>
      </c>
      <c r="Z21">
        <f t="shared" si="2"/>
        <v>89.35499999999999</v>
      </c>
      <c r="AA21">
        <f t="shared" si="3"/>
        <v>89.35499999999999</v>
      </c>
      <c r="AB21">
        <f t="shared" si="4"/>
        <v>721.98839999999996</v>
      </c>
    </row>
    <row r="22" spans="1:28" ht="25.5" x14ac:dyDescent="0.25">
      <c r="A22" s="7">
        <v>21</v>
      </c>
      <c r="B22" s="7" t="s">
        <v>15</v>
      </c>
      <c r="C22" s="7" t="s">
        <v>110</v>
      </c>
      <c r="D22" s="7" t="s">
        <v>111</v>
      </c>
      <c r="E22" s="7"/>
      <c r="F22" s="8"/>
      <c r="G22" s="7" t="s">
        <v>111</v>
      </c>
      <c r="H22" s="9">
        <v>33.187843999999998</v>
      </c>
      <c r="I22" s="9">
        <v>10.218183</v>
      </c>
      <c r="J22" s="7" t="s">
        <v>112</v>
      </c>
      <c r="K22" s="7" t="s">
        <v>37</v>
      </c>
      <c r="L22" s="7"/>
      <c r="M22" s="10">
        <v>6.4</v>
      </c>
      <c r="N22" s="7" t="s">
        <v>38</v>
      </c>
      <c r="O22" s="7"/>
      <c r="P22" s="8" t="s">
        <v>39</v>
      </c>
      <c r="Q22">
        <v>2.93</v>
      </c>
      <c r="R22">
        <v>32.6</v>
      </c>
      <c r="S22" t="s">
        <v>58</v>
      </c>
      <c r="T22">
        <v>18</v>
      </c>
      <c r="U22">
        <f t="shared" si="0"/>
        <v>52.74</v>
      </c>
      <c r="V22">
        <v>0.9</v>
      </c>
      <c r="W22">
        <v>0</v>
      </c>
      <c r="X22">
        <v>0</v>
      </c>
      <c r="Y22">
        <f t="shared" si="1"/>
        <v>0</v>
      </c>
      <c r="Z22">
        <f t="shared" si="2"/>
        <v>47.466000000000001</v>
      </c>
      <c r="AA22">
        <f t="shared" si="3"/>
        <v>47.466000000000001</v>
      </c>
      <c r="AB22">
        <f t="shared" si="4"/>
        <v>303.7824</v>
      </c>
    </row>
    <row r="23" spans="1:28" ht="25.5" x14ac:dyDescent="0.25">
      <c r="A23" s="7">
        <v>22</v>
      </c>
      <c r="B23" s="7" t="s">
        <v>15</v>
      </c>
      <c r="C23" s="7" t="s">
        <v>113</v>
      </c>
      <c r="D23" s="7" t="s">
        <v>114</v>
      </c>
      <c r="E23" s="7"/>
      <c r="F23" s="8"/>
      <c r="G23" s="7" t="s">
        <v>114</v>
      </c>
      <c r="H23" s="9">
        <v>33.868400000000001</v>
      </c>
      <c r="I23" s="9">
        <v>7.8846299999999996</v>
      </c>
      <c r="J23" s="7" t="s">
        <v>115</v>
      </c>
      <c r="K23" s="7" t="s">
        <v>37</v>
      </c>
      <c r="L23" s="7"/>
      <c r="M23" s="10">
        <v>4.4000000000000004</v>
      </c>
      <c r="N23" s="7" t="s">
        <v>44</v>
      </c>
      <c r="O23" s="7"/>
      <c r="P23" s="8" t="s">
        <v>39</v>
      </c>
      <c r="Q23">
        <v>3.29</v>
      </c>
      <c r="R23">
        <v>41</v>
      </c>
      <c r="S23" t="s">
        <v>40</v>
      </c>
      <c r="T23">
        <v>18</v>
      </c>
      <c r="U23">
        <f t="shared" si="0"/>
        <v>59.22</v>
      </c>
      <c r="V23">
        <v>0.6</v>
      </c>
      <c r="W23">
        <v>50</v>
      </c>
      <c r="X23">
        <v>0.35</v>
      </c>
      <c r="Y23">
        <f t="shared" si="1"/>
        <v>17.5</v>
      </c>
      <c r="Z23">
        <f t="shared" si="2"/>
        <v>35.531999999999996</v>
      </c>
      <c r="AA23">
        <f t="shared" si="3"/>
        <v>18.031999999999996</v>
      </c>
      <c r="AB23">
        <f t="shared" si="4"/>
        <v>79.340799999999987</v>
      </c>
    </row>
    <row r="24" spans="1:28" ht="25.5" x14ac:dyDescent="0.25">
      <c r="A24" s="7">
        <v>23</v>
      </c>
      <c r="B24" s="7" t="s">
        <v>15</v>
      </c>
      <c r="C24" s="7" t="s">
        <v>116</v>
      </c>
      <c r="D24" s="7" t="s">
        <v>117</v>
      </c>
      <c r="E24" s="7"/>
      <c r="F24" s="8"/>
      <c r="G24" s="7" t="s">
        <v>117</v>
      </c>
      <c r="H24" s="9">
        <v>36.865502999999997</v>
      </c>
      <c r="I24" s="9">
        <v>10.300316</v>
      </c>
      <c r="J24" s="7" t="s">
        <v>118</v>
      </c>
      <c r="K24" s="7" t="s">
        <v>37</v>
      </c>
      <c r="L24" s="7"/>
      <c r="M24" s="10">
        <v>23.35</v>
      </c>
      <c r="N24" s="7" t="s">
        <v>48</v>
      </c>
      <c r="O24" s="7"/>
      <c r="P24" s="8" t="s">
        <v>39</v>
      </c>
      <c r="Q24">
        <v>5.97</v>
      </c>
      <c r="R24">
        <v>21.8</v>
      </c>
      <c r="S24" t="s">
        <v>53</v>
      </c>
      <c r="T24">
        <v>16</v>
      </c>
      <c r="U24">
        <f t="shared" si="0"/>
        <v>95.52</v>
      </c>
      <c r="V24">
        <v>1.03</v>
      </c>
      <c r="W24">
        <v>50</v>
      </c>
      <c r="X24">
        <v>0.35</v>
      </c>
      <c r="Y24">
        <f t="shared" si="1"/>
        <v>17.5</v>
      </c>
      <c r="Z24">
        <f t="shared" si="2"/>
        <v>98.385599999999997</v>
      </c>
      <c r="AA24">
        <f t="shared" si="3"/>
        <v>80.885599999999997</v>
      </c>
      <c r="AB24">
        <f t="shared" si="4"/>
        <v>1888.67876</v>
      </c>
    </row>
    <row r="25" spans="1:28" ht="25.5" x14ac:dyDescent="0.25">
      <c r="A25" s="7">
        <v>24</v>
      </c>
      <c r="B25" s="7" t="s">
        <v>15</v>
      </c>
      <c r="C25" s="7" t="s">
        <v>119</v>
      </c>
      <c r="D25" s="7" t="s">
        <v>120</v>
      </c>
      <c r="E25" s="7"/>
      <c r="F25" s="8"/>
      <c r="G25" s="7" t="s">
        <v>120</v>
      </c>
      <c r="H25" s="9">
        <v>36.384607000000003</v>
      </c>
      <c r="I25" s="9">
        <v>9.6052009999999992</v>
      </c>
      <c r="J25" s="7" t="s">
        <v>121</v>
      </c>
      <c r="K25" s="7" t="s">
        <v>37</v>
      </c>
      <c r="L25" s="7"/>
      <c r="M25" s="10">
        <v>19.850000000000001</v>
      </c>
      <c r="N25" s="7" t="s">
        <v>52</v>
      </c>
      <c r="O25" s="7"/>
      <c r="P25" s="8" t="s">
        <v>39</v>
      </c>
      <c r="Q25">
        <v>5.53</v>
      </c>
      <c r="R25">
        <v>20.6</v>
      </c>
      <c r="S25" t="s">
        <v>53</v>
      </c>
      <c r="T25">
        <v>12</v>
      </c>
      <c r="U25">
        <f t="shared" si="0"/>
        <v>66.36</v>
      </c>
      <c r="V25">
        <v>1.26</v>
      </c>
      <c r="W25">
        <v>0</v>
      </c>
      <c r="X25">
        <v>0</v>
      </c>
      <c r="Y25">
        <f t="shared" si="1"/>
        <v>0</v>
      </c>
      <c r="Z25">
        <f t="shared" si="2"/>
        <v>83.613600000000005</v>
      </c>
      <c r="AA25">
        <f t="shared" si="3"/>
        <v>83.613600000000005</v>
      </c>
      <c r="AB25">
        <f t="shared" si="4"/>
        <v>1659.7299600000001</v>
      </c>
    </row>
    <row r="26" spans="1:28" ht="25.5" x14ac:dyDescent="0.25">
      <c r="A26" s="7">
        <v>25</v>
      </c>
      <c r="B26" s="7" t="s">
        <v>15</v>
      </c>
      <c r="C26" s="7" t="s">
        <v>34</v>
      </c>
      <c r="D26" s="7" t="s">
        <v>122</v>
      </c>
      <c r="E26" s="7"/>
      <c r="F26" s="8"/>
      <c r="G26" s="7" t="s">
        <v>122</v>
      </c>
      <c r="H26" s="9">
        <v>36.898294999999997</v>
      </c>
      <c r="I26" s="9">
        <v>10.207189</v>
      </c>
      <c r="J26" s="7" t="s">
        <v>36</v>
      </c>
      <c r="K26" s="7" t="s">
        <v>37</v>
      </c>
      <c r="L26" s="7"/>
      <c r="M26" s="10">
        <v>14.29</v>
      </c>
      <c r="N26" s="7" t="s">
        <v>57</v>
      </c>
      <c r="O26" s="7"/>
      <c r="P26" s="8" t="s">
        <v>39</v>
      </c>
      <c r="Q26">
        <v>6.75</v>
      </c>
      <c r="R26">
        <v>37.299999999999997</v>
      </c>
      <c r="S26" t="s">
        <v>40</v>
      </c>
      <c r="T26">
        <v>8</v>
      </c>
      <c r="U26">
        <f t="shared" si="0"/>
        <v>54</v>
      </c>
      <c r="V26">
        <v>0.72</v>
      </c>
      <c r="W26">
        <v>0</v>
      </c>
      <c r="X26">
        <v>0</v>
      </c>
      <c r="Y26">
        <f t="shared" si="1"/>
        <v>0</v>
      </c>
      <c r="Z26">
        <f t="shared" si="2"/>
        <v>38.879999999999995</v>
      </c>
      <c r="AA26">
        <f t="shared" si="3"/>
        <v>38.879999999999995</v>
      </c>
      <c r="AB26">
        <f t="shared" si="4"/>
        <v>555.59519999999986</v>
      </c>
    </row>
    <row r="27" spans="1:28" ht="25.5" x14ac:dyDescent="0.25">
      <c r="A27" s="7">
        <v>26</v>
      </c>
      <c r="B27" s="7" t="s">
        <v>15</v>
      </c>
      <c r="C27" s="7" t="s">
        <v>41</v>
      </c>
      <c r="D27" s="7" t="s">
        <v>123</v>
      </c>
      <c r="E27" s="7"/>
      <c r="F27" s="8"/>
      <c r="G27" s="7" t="s">
        <v>123</v>
      </c>
      <c r="H27" s="9">
        <v>36.640234999999997</v>
      </c>
      <c r="I27" s="9">
        <v>9.6093860000000006</v>
      </c>
      <c r="J27" s="7" t="s">
        <v>43</v>
      </c>
      <c r="K27" s="7" t="s">
        <v>37</v>
      </c>
      <c r="L27" s="7"/>
      <c r="M27" s="10">
        <v>16.02</v>
      </c>
      <c r="N27" s="7" t="s">
        <v>62</v>
      </c>
      <c r="O27" s="7"/>
      <c r="P27" s="8" t="s">
        <v>39</v>
      </c>
      <c r="Q27">
        <v>1.89</v>
      </c>
      <c r="R27">
        <v>16.7</v>
      </c>
      <c r="S27" t="s">
        <v>53</v>
      </c>
      <c r="T27">
        <v>7</v>
      </c>
      <c r="U27">
        <f t="shared" si="0"/>
        <v>13.229999999999999</v>
      </c>
      <c r="V27">
        <v>1.26</v>
      </c>
      <c r="W27">
        <v>0</v>
      </c>
      <c r="X27">
        <v>0</v>
      </c>
      <c r="Y27">
        <f t="shared" si="1"/>
        <v>0</v>
      </c>
      <c r="Z27">
        <f t="shared" si="2"/>
        <v>16.669799999999999</v>
      </c>
      <c r="AA27">
        <f t="shared" si="3"/>
        <v>16.669799999999999</v>
      </c>
      <c r="AB27">
        <f t="shared" si="4"/>
        <v>267.05019599999997</v>
      </c>
    </row>
    <row r="28" spans="1:28" ht="25.5" x14ac:dyDescent="0.25">
      <c r="A28" s="7">
        <v>27</v>
      </c>
      <c r="B28" s="7" t="s">
        <v>15</v>
      </c>
      <c r="C28" s="7" t="s">
        <v>45</v>
      </c>
      <c r="D28" s="7" t="s">
        <v>124</v>
      </c>
      <c r="E28" s="7"/>
      <c r="F28" s="8"/>
      <c r="G28" s="7" t="s">
        <v>124</v>
      </c>
      <c r="H28" s="9">
        <v>36.637982999999998</v>
      </c>
      <c r="I28" s="9">
        <v>10.336365000000001</v>
      </c>
      <c r="J28" s="7" t="s">
        <v>47</v>
      </c>
      <c r="K28" s="7" t="s">
        <v>37</v>
      </c>
      <c r="L28" s="7"/>
      <c r="M28" s="10">
        <v>19.27</v>
      </c>
      <c r="N28" s="7" t="s">
        <v>66</v>
      </c>
      <c r="O28" s="7"/>
      <c r="P28" s="8" t="s">
        <v>39</v>
      </c>
      <c r="Q28">
        <v>5.28</v>
      </c>
      <c r="R28">
        <v>11</v>
      </c>
      <c r="S28" t="s">
        <v>91</v>
      </c>
      <c r="T28">
        <v>10</v>
      </c>
      <c r="U28">
        <f t="shared" si="0"/>
        <v>52.800000000000004</v>
      </c>
      <c r="V28">
        <v>1.08</v>
      </c>
      <c r="W28">
        <v>0</v>
      </c>
      <c r="X28">
        <v>0</v>
      </c>
      <c r="Y28">
        <f t="shared" si="1"/>
        <v>0</v>
      </c>
      <c r="Z28">
        <f t="shared" si="2"/>
        <v>57.024000000000008</v>
      </c>
      <c r="AA28">
        <f t="shared" si="3"/>
        <v>57.024000000000008</v>
      </c>
      <c r="AB28">
        <f t="shared" si="4"/>
        <v>1098.8524800000002</v>
      </c>
    </row>
    <row r="29" spans="1:28" ht="25.5" x14ac:dyDescent="0.25">
      <c r="A29" s="7">
        <v>28</v>
      </c>
      <c r="B29" s="7" t="s">
        <v>15</v>
      </c>
      <c r="C29" s="7" t="s">
        <v>49</v>
      </c>
      <c r="D29" s="7" t="s">
        <v>125</v>
      </c>
      <c r="E29" s="7"/>
      <c r="F29" s="8"/>
      <c r="G29" s="7" t="s">
        <v>125</v>
      </c>
      <c r="H29" s="9">
        <v>37.158137000000004</v>
      </c>
      <c r="I29" s="9">
        <v>9.7998139999999996</v>
      </c>
      <c r="J29" s="7" t="s">
        <v>51</v>
      </c>
      <c r="K29" s="7" t="s">
        <v>37</v>
      </c>
      <c r="L29" s="7"/>
      <c r="M29" s="10">
        <v>15.58</v>
      </c>
      <c r="N29" s="7" t="s">
        <v>70</v>
      </c>
      <c r="O29" s="7"/>
      <c r="P29" s="8" t="s">
        <v>39</v>
      </c>
      <c r="Q29">
        <v>5.49</v>
      </c>
      <c r="R29">
        <v>20</v>
      </c>
      <c r="S29" t="s">
        <v>53</v>
      </c>
      <c r="T29">
        <v>9</v>
      </c>
      <c r="U29">
        <f t="shared" si="0"/>
        <v>49.410000000000004</v>
      </c>
      <c r="V29">
        <v>1.03</v>
      </c>
      <c r="W29">
        <v>50</v>
      </c>
      <c r="X29">
        <v>0.35</v>
      </c>
      <c r="Y29">
        <f t="shared" si="1"/>
        <v>17.5</v>
      </c>
      <c r="Z29">
        <f t="shared" si="2"/>
        <v>50.892300000000006</v>
      </c>
      <c r="AA29">
        <f t="shared" si="3"/>
        <v>33.392300000000006</v>
      </c>
      <c r="AB29">
        <f t="shared" si="4"/>
        <v>520.25203400000009</v>
      </c>
    </row>
    <row r="30" spans="1:28" ht="25.5" x14ac:dyDescent="0.25">
      <c r="A30" s="7">
        <v>29</v>
      </c>
      <c r="B30" s="7" t="s">
        <v>15</v>
      </c>
      <c r="C30" s="7" t="s">
        <v>54</v>
      </c>
      <c r="D30" s="7" t="s">
        <v>126</v>
      </c>
      <c r="E30" s="7"/>
      <c r="F30" s="8"/>
      <c r="G30" s="7" t="s">
        <v>126</v>
      </c>
      <c r="H30" s="9">
        <v>33.615932000000001</v>
      </c>
      <c r="I30" s="9">
        <v>10.284164000000001</v>
      </c>
      <c r="J30" s="7" t="s">
        <v>56</v>
      </c>
      <c r="K30" s="7" t="s">
        <v>37</v>
      </c>
      <c r="L30" s="7"/>
      <c r="M30" s="10">
        <v>24.29</v>
      </c>
      <c r="N30" s="7" t="s">
        <v>74</v>
      </c>
      <c r="O30" s="7"/>
      <c r="P30" s="8" t="s">
        <v>39</v>
      </c>
      <c r="Q30">
        <v>6.76</v>
      </c>
      <c r="R30">
        <v>10.1</v>
      </c>
      <c r="S30" t="s">
        <v>91</v>
      </c>
      <c r="T30">
        <v>10</v>
      </c>
      <c r="U30">
        <f t="shared" si="0"/>
        <v>67.599999999999994</v>
      </c>
      <c r="V30">
        <v>1.22</v>
      </c>
      <c r="W30">
        <v>0</v>
      </c>
      <c r="X30">
        <v>0</v>
      </c>
      <c r="Y30">
        <f t="shared" si="1"/>
        <v>0</v>
      </c>
      <c r="Z30">
        <f t="shared" si="2"/>
        <v>82.471999999999994</v>
      </c>
      <c r="AA30">
        <f t="shared" si="3"/>
        <v>82.471999999999994</v>
      </c>
      <c r="AB30">
        <f t="shared" si="4"/>
        <v>2003.2448799999997</v>
      </c>
    </row>
    <row r="31" spans="1:28" ht="25.5" x14ac:dyDescent="0.25">
      <c r="A31" s="7">
        <v>30</v>
      </c>
      <c r="B31" s="7" t="s">
        <v>15</v>
      </c>
      <c r="C31" s="7" t="s">
        <v>59</v>
      </c>
      <c r="D31" s="7" t="s">
        <v>127</v>
      </c>
      <c r="E31" s="7"/>
      <c r="F31" s="8"/>
      <c r="G31" s="7" t="s">
        <v>127</v>
      </c>
      <c r="H31" s="9">
        <v>34.309719000000001</v>
      </c>
      <c r="I31" s="9">
        <v>8.4028010000000002</v>
      </c>
      <c r="J31" s="7" t="s">
        <v>61</v>
      </c>
      <c r="K31" s="7" t="s">
        <v>37</v>
      </c>
      <c r="L31" s="7"/>
      <c r="M31" s="10">
        <v>8.34</v>
      </c>
      <c r="N31" s="7" t="s">
        <v>78</v>
      </c>
      <c r="O31" s="7"/>
      <c r="P31" s="8" t="s">
        <v>39</v>
      </c>
      <c r="Q31">
        <v>3.04</v>
      </c>
      <c r="R31">
        <v>28.4</v>
      </c>
      <c r="S31" t="s">
        <v>58</v>
      </c>
      <c r="T31">
        <v>14</v>
      </c>
      <c r="U31">
        <f t="shared" si="0"/>
        <v>42.56</v>
      </c>
      <c r="V31">
        <v>0.9</v>
      </c>
      <c r="W31">
        <v>0</v>
      </c>
      <c r="X31">
        <v>0</v>
      </c>
      <c r="Y31">
        <f t="shared" si="1"/>
        <v>0</v>
      </c>
      <c r="Z31">
        <f t="shared" si="2"/>
        <v>38.304000000000002</v>
      </c>
      <c r="AA31">
        <f t="shared" si="3"/>
        <v>38.304000000000002</v>
      </c>
      <c r="AB31">
        <f t="shared" si="4"/>
        <v>319.45535999999998</v>
      </c>
    </row>
    <row r="32" spans="1:28" ht="25.5" x14ac:dyDescent="0.25">
      <c r="A32" s="7">
        <v>31</v>
      </c>
      <c r="B32" s="7" t="s">
        <v>15</v>
      </c>
      <c r="C32" s="7" t="s">
        <v>63</v>
      </c>
      <c r="D32" s="7" t="s">
        <v>128</v>
      </c>
      <c r="E32" s="7"/>
      <c r="F32" s="8"/>
      <c r="G32" s="7" t="s">
        <v>128</v>
      </c>
      <c r="H32" s="9">
        <v>36.954529999999998</v>
      </c>
      <c r="I32" s="9">
        <v>8.7700800000000001</v>
      </c>
      <c r="J32" s="7" t="s">
        <v>65</v>
      </c>
      <c r="K32" s="7" t="s">
        <v>37</v>
      </c>
      <c r="L32" s="7"/>
      <c r="M32" s="10">
        <v>12.13</v>
      </c>
      <c r="N32" s="7" t="s">
        <v>38</v>
      </c>
      <c r="O32" s="7"/>
      <c r="P32" s="8" t="s">
        <v>39</v>
      </c>
      <c r="Q32">
        <v>4.76</v>
      </c>
      <c r="R32">
        <v>17.7</v>
      </c>
      <c r="S32" t="s">
        <v>53</v>
      </c>
      <c r="T32">
        <v>18</v>
      </c>
      <c r="U32">
        <f t="shared" si="0"/>
        <v>85.679999999999993</v>
      </c>
      <c r="V32">
        <v>1.1499999999999999</v>
      </c>
      <c r="W32">
        <v>80</v>
      </c>
      <c r="X32">
        <v>0.35</v>
      </c>
      <c r="Y32">
        <f t="shared" si="1"/>
        <v>28</v>
      </c>
      <c r="Z32">
        <f t="shared" si="2"/>
        <v>98.531999999999982</v>
      </c>
      <c r="AA32">
        <f t="shared" si="3"/>
        <v>70.531999999999982</v>
      </c>
      <c r="AB32">
        <f t="shared" si="4"/>
        <v>855.55315999999982</v>
      </c>
    </row>
    <row r="33" spans="1:28" ht="25.5" x14ac:dyDescent="0.25">
      <c r="A33" s="7">
        <v>32</v>
      </c>
      <c r="B33" s="7" t="s">
        <v>15</v>
      </c>
      <c r="C33" s="7" t="s">
        <v>67</v>
      </c>
      <c r="D33" s="7" t="s">
        <v>129</v>
      </c>
      <c r="E33" s="7"/>
      <c r="F33" s="8"/>
      <c r="G33" s="7" t="s">
        <v>129</v>
      </c>
      <c r="H33" s="9">
        <v>35.609870999999998</v>
      </c>
      <c r="I33" s="9">
        <v>9.925675</v>
      </c>
      <c r="J33" s="7" t="s">
        <v>69</v>
      </c>
      <c r="K33" s="7" t="s">
        <v>37</v>
      </c>
      <c r="L33" s="7"/>
      <c r="M33" s="10">
        <v>0.95</v>
      </c>
      <c r="N33" s="7" t="s">
        <v>44</v>
      </c>
      <c r="O33" s="7"/>
      <c r="P33" s="8" t="s">
        <v>39</v>
      </c>
      <c r="Q33">
        <v>6.36</v>
      </c>
      <c r="R33">
        <v>20.399999999999999</v>
      </c>
      <c r="S33" t="s">
        <v>53</v>
      </c>
      <c r="T33">
        <v>18</v>
      </c>
      <c r="U33">
        <f t="shared" si="0"/>
        <v>114.48</v>
      </c>
      <c r="V33">
        <v>1.1499999999999999</v>
      </c>
      <c r="W33">
        <v>0</v>
      </c>
      <c r="X33">
        <v>0</v>
      </c>
      <c r="Y33">
        <f t="shared" si="1"/>
        <v>0</v>
      </c>
      <c r="Z33">
        <f t="shared" si="2"/>
        <v>131.65199999999999</v>
      </c>
      <c r="AA33">
        <f t="shared" si="3"/>
        <v>131.65199999999999</v>
      </c>
      <c r="AB33">
        <f t="shared" si="4"/>
        <v>125.06939999999999</v>
      </c>
    </row>
    <row r="34" spans="1:28" ht="25.5" x14ac:dyDescent="0.25">
      <c r="A34" s="7">
        <v>33</v>
      </c>
      <c r="B34" s="7" t="s">
        <v>15</v>
      </c>
      <c r="C34" s="7" t="s">
        <v>71</v>
      </c>
      <c r="D34" s="7" t="s">
        <v>130</v>
      </c>
      <c r="E34" s="7"/>
      <c r="F34" s="8"/>
      <c r="G34" s="7" t="s">
        <v>130</v>
      </c>
      <c r="H34" s="9">
        <v>35.250906999999998</v>
      </c>
      <c r="I34" s="9">
        <v>9.1362590000000008</v>
      </c>
      <c r="J34" s="7" t="s">
        <v>73</v>
      </c>
      <c r="K34" s="7" t="s">
        <v>37</v>
      </c>
      <c r="L34" s="7"/>
      <c r="M34" s="10">
        <v>15</v>
      </c>
      <c r="N34" s="7" t="s">
        <v>48</v>
      </c>
      <c r="O34" s="7"/>
      <c r="P34" s="8" t="s">
        <v>39</v>
      </c>
      <c r="Q34">
        <v>1.98</v>
      </c>
      <c r="R34">
        <v>15.6</v>
      </c>
      <c r="S34" t="s">
        <v>53</v>
      </c>
      <c r="T34">
        <v>16</v>
      </c>
      <c r="U34">
        <f t="shared" si="0"/>
        <v>31.68</v>
      </c>
      <c r="V34">
        <v>1.03</v>
      </c>
      <c r="W34">
        <v>50</v>
      </c>
      <c r="X34">
        <v>0.35</v>
      </c>
      <c r="Y34">
        <f t="shared" si="1"/>
        <v>17.5</v>
      </c>
      <c r="Z34">
        <f t="shared" si="2"/>
        <v>32.630400000000002</v>
      </c>
      <c r="AA34">
        <f t="shared" si="3"/>
        <v>15.130400000000002</v>
      </c>
      <c r="AB34">
        <f t="shared" si="4"/>
        <v>226.95600000000002</v>
      </c>
    </row>
    <row r="35" spans="1:28" ht="25.5" x14ac:dyDescent="0.25">
      <c r="A35" s="7">
        <v>34</v>
      </c>
      <c r="B35" s="7" t="s">
        <v>15</v>
      </c>
      <c r="C35" s="7" t="s">
        <v>75</v>
      </c>
      <c r="D35" s="7" t="s">
        <v>131</v>
      </c>
      <c r="E35" s="7"/>
      <c r="F35" s="8"/>
      <c r="G35" s="7" t="s">
        <v>131</v>
      </c>
      <c r="H35" s="9">
        <v>33.478043999999997</v>
      </c>
      <c r="I35" s="9">
        <v>9.029871</v>
      </c>
      <c r="J35" s="7" t="s">
        <v>77</v>
      </c>
      <c r="K35" s="7" t="s">
        <v>37</v>
      </c>
      <c r="L35" s="7"/>
      <c r="M35" s="10">
        <v>20.170000000000002</v>
      </c>
      <c r="N35" s="7" t="s">
        <v>52</v>
      </c>
      <c r="O35" s="7"/>
      <c r="P35" s="8" t="s">
        <v>39</v>
      </c>
      <c r="Q35">
        <v>4.6399999999999997</v>
      </c>
      <c r="R35">
        <v>41.6</v>
      </c>
      <c r="S35" t="s">
        <v>40</v>
      </c>
      <c r="T35">
        <v>12</v>
      </c>
      <c r="U35">
        <f t="shared" si="0"/>
        <v>55.679999999999993</v>
      </c>
      <c r="V35">
        <v>0.66</v>
      </c>
      <c r="W35">
        <v>0</v>
      </c>
      <c r="X35">
        <v>0</v>
      </c>
      <c r="Y35">
        <f t="shared" si="1"/>
        <v>0</v>
      </c>
      <c r="Z35">
        <f t="shared" si="2"/>
        <v>36.748799999999996</v>
      </c>
      <c r="AA35">
        <f t="shared" si="3"/>
        <v>36.748799999999996</v>
      </c>
      <c r="AB35">
        <f t="shared" si="4"/>
        <v>741.223296</v>
      </c>
    </row>
    <row r="36" spans="1:28" ht="25.5" x14ac:dyDescent="0.25">
      <c r="A36" s="7">
        <v>35</v>
      </c>
      <c r="B36" s="7" t="s">
        <v>15</v>
      </c>
      <c r="C36" s="7" t="s">
        <v>79</v>
      </c>
      <c r="D36" s="7" t="s">
        <v>132</v>
      </c>
      <c r="E36" s="7"/>
      <c r="F36" s="8"/>
      <c r="G36" s="7" t="s">
        <v>132</v>
      </c>
      <c r="H36" s="9">
        <v>35.946064999999997</v>
      </c>
      <c r="I36" s="9">
        <v>8.8198080000000001</v>
      </c>
      <c r="J36" s="7" t="s">
        <v>81</v>
      </c>
      <c r="K36" s="7" t="s">
        <v>37</v>
      </c>
      <c r="L36" s="7"/>
      <c r="M36" s="10">
        <v>18.920000000000002</v>
      </c>
      <c r="N36" s="7" t="s">
        <v>57</v>
      </c>
      <c r="O36" s="7"/>
      <c r="P36" s="8" t="s">
        <v>39</v>
      </c>
      <c r="Q36">
        <v>7.54</v>
      </c>
      <c r="R36">
        <v>38</v>
      </c>
      <c r="S36" t="s">
        <v>40</v>
      </c>
      <c r="T36">
        <v>8</v>
      </c>
      <c r="U36">
        <f t="shared" si="0"/>
        <v>60.32</v>
      </c>
      <c r="V36">
        <v>0.72</v>
      </c>
      <c r="W36">
        <v>50</v>
      </c>
      <c r="X36">
        <v>0.35</v>
      </c>
      <c r="Y36">
        <f t="shared" si="1"/>
        <v>17.5</v>
      </c>
      <c r="Z36">
        <f t="shared" si="2"/>
        <v>43.430399999999999</v>
      </c>
      <c r="AA36">
        <f t="shared" si="3"/>
        <v>25.930399999999999</v>
      </c>
      <c r="AB36">
        <f t="shared" si="4"/>
        <v>490.60316800000004</v>
      </c>
    </row>
    <row r="37" spans="1:28" ht="25.5" x14ac:dyDescent="0.25">
      <c r="A37" s="7">
        <v>36</v>
      </c>
      <c r="B37" s="7" t="s">
        <v>15</v>
      </c>
      <c r="C37" s="7" t="s">
        <v>82</v>
      </c>
      <c r="D37" s="7" t="s">
        <v>133</v>
      </c>
      <c r="E37" s="7"/>
      <c r="F37" s="8"/>
      <c r="G37" s="7" t="s">
        <v>133</v>
      </c>
      <c r="H37" s="9">
        <v>35.237805000000002</v>
      </c>
      <c r="I37" s="9">
        <v>11.119628000000001</v>
      </c>
      <c r="J37" s="7" t="s">
        <v>84</v>
      </c>
      <c r="K37" s="7" t="s">
        <v>37</v>
      </c>
      <c r="L37" s="7"/>
      <c r="M37" s="10">
        <v>22.84</v>
      </c>
      <c r="N37" s="7" t="s">
        <v>62</v>
      </c>
      <c r="O37" s="7"/>
      <c r="P37" s="8" t="s">
        <v>39</v>
      </c>
      <c r="Q37">
        <v>5.25</v>
      </c>
      <c r="R37">
        <v>18</v>
      </c>
      <c r="S37" t="s">
        <v>53</v>
      </c>
      <c r="T37">
        <v>7</v>
      </c>
      <c r="U37">
        <f t="shared" si="0"/>
        <v>36.75</v>
      </c>
      <c r="V37">
        <v>1.26</v>
      </c>
      <c r="W37">
        <v>0</v>
      </c>
      <c r="X37">
        <v>0</v>
      </c>
      <c r="Y37">
        <f t="shared" si="1"/>
        <v>0</v>
      </c>
      <c r="Z37">
        <f t="shared" si="2"/>
        <v>46.305</v>
      </c>
      <c r="AA37">
        <f t="shared" si="3"/>
        <v>46.305</v>
      </c>
      <c r="AB37">
        <f t="shared" si="4"/>
        <v>1057.6061999999999</v>
      </c>
    </row>
    <row r="38" spans="1:28" ht="25.5" x14ac:dyDescent="0.25">
      <c r="A38" s="7">
        <v>37</v>
      </c>
      <c r="B38" s="7" t="s">
        <v>15</v>
      </c>
      <c r="C38" s="7" t="s">
        <v>85</v>
      </c>
      <c r="D38" s="7" t="s">
        <v>134</v>
      </c>
      <c r="E38" s="7"/>
      <c r="F38" s="8"/>
      <c r="G38" s="7" t="s">
        <v>134</v>
      </c>
      <c r="H38" s="9">
        <v>36.840642000000003</v>
      </c>
      <c r="I38" s="9">
        <v>9.8368599999999997</v>
      </c>
      <c r="J38" s="7" t="s">
        <v>87</v>
      </c>
      <c r="K38" s="7" t="s">
        <v>37</v>
      </c>
      <c r="L38" s="7"/>
      <c r="M38" s="10">
        <v>14.98</v>
      </c>
      <c r="N38" s="7" t="s">
        <v>66</v>
      </c>
      <c r="O38" s="7"/>
      <c r="P38" s="8" t="s">
        <v>39</v>
      </c>
      <c r="Q38">
        <v>3.3</v>
      </c>
      <c r="R38">
        <v>22.9</v>
      </c>
      <c r="S38" t="s">
        <v>53</v>
      </c>
      <c r="T38">
        <v>10</v>
      </c>
      <c r="U38">
        <f t="shared" si="0"/>
        <v>33</v>
      </c>
      <c r="V38">
        <v>0.92</v>
      </c>
      <c r="W38">
        <v>0</v>
      </c>
      <c r="X38">
        <v>0</v>
      </c>
      <c r="Y38">
        <f t="shared" si="1"/>
        <v>0</v>
      </c>
      <c r="Z38">
        <f t="shared" si="2"/>
        <v>30.360000000000003</v>
      </c>
      <c r="AA38">
        <f t="shared" si="3"/>
        <v>30.360000000000003</v>
      </c>
      <c r="AB38">
        <f t="shared" si="4"/>
        <v>454.79280000000006</v>
      </c>
    </row>
    <row r="39" spans="1:28" ht="25.5" x14ac:dyDescent="0.25">
      <c r="A39" s="7">
        <v>38</v>
      </c>
      <c r="B39" s="7" t="s">
        <v>15</v>
      </c>
      <c r="C39" s="7" t="s">
        <v>88</v>
      </c>
      <c r="D39" s="7" t="s">
        <v>135</v>
      </c>
      <c r="E39" s="7"/>
      <c r="F39" s="8"/>
      <c r="G39" s="7" t="s">
        <v>135</v>
      </c>
      <c r="H39" s="9">
        <v>33.801400999999998</v>
      </c>
      <c r="I39" s="9">
        <v>11.00756</v>
      </c>
      <c r="J39" s="7" t="s">
        <v>90</v>
      </c>
      <c r="K39" s="7" t="s">
        <v>37</v>
      </c>
      <c r="L39" s="7"/>
      <c r="M39" s="10">
        <v>24.71</v>
      </c>
      <c r="N39" s="7" t="s">
        <v>70</v>
      </c>
      <c r="O39" s="7"/>
      <c r="P39" s="8" t="s">
        <v>39</v>
      </c>
      <c r="Q39">
        <v>4.37</v>
      </c>
      <c r="R39">
        <v>37.5</v>
      </c>
      <c r="S39" t="s">
        <v>40</v>
      </c>
      <c r="T39">
        <v>9</v>
      </c>
      <c r="U39">
        <f t="shared" si="0"/>
        <v>39.33</v>
      </c>
      <c r="V39">
        <v>0.54</v>
      </c>
      <c r="W39">
        <v>80</v>
      </c>
      <c r="X39">
        <v>0.35</v>
      </c>
      <c r="Y39">
        <f t="shared" si="1"/>
        <v>28</v>
      </c>
      <c r="Z39">
        <f t="shared" si="2"/>
        <v>21.238199999999999</v>
      </c>
      <c r="AA39">
        <f t="shared" si="3"/>
        <v>0</v>
      </c>
      <c r="AB39">
        <f t="shared" si="4"/>
        <v>0</v>
      </c>
    </row>
    <row r="40" spans="1:28" ht="25.5" x14ac:dyDescent="0.25">
      <c r="A40" s="7">
        <v>39</v>
      </c>
      <c r="B40" s="7" t="s">
        <v>15</v>
      </c>
      <c r="C40" s="7" t="s">
        <v>92</v>
      </c>
      <c r="D40" s="7" t="s">
        <v>136</v>
      </c>
      <c r="E40" s="7"/>
      <c r="F40" s="8"/>
      <c r="G40" s="7" t="s">
        <v>136</v>
      </c>
      <c r="H40" s="9">
        <v>35.594946</v>
      </c>
      <c r="I40" s="9">
        <v>10.747013000000001</v>
      </c>
      <c r="J40" s="7" t="s">
        <v>94</v>
      </c>
      <c r="K40" s="7" t="s">
        <v>37</v>
      </c>
      <c r="L40" s="7"/>
      <c r="M40" s="10">
        <v>14.08</v>
      </c>
      <c r="N40" s="7" t="s">
        <v>74</v>
      </c>
      <c r="O40" s="7"/>
      <c r="P40" s="8" t="s">
        <v>39</v>
      </c>
      <c r="Q40">
        <v>6.72</v>
      </c>
      <c r="R40">
        <v>44.7</v>
      </c>
      <c r="S40" t="s">
        <v>40</v>
      </c>
      <c r="T40">
        <v>10</v>
      </c>
      <c r="U40">
        <f t="shared" si="0"/>
        <v>67.2</v>
      </c>
      <c r="V40">
        <v>0.54</v>
      </c>
      <c r="W40">
        <v>160</v>
      </c>
      <c r="X40">
        <v>0.35</v>
      </c>
      <c r="Y40">
        <f t="shared" si="1"/>
        <v>56</v>
      </c>
      <c r="Z40">
        <f t="shared" si="2"/>
        <v>36.288000000000004</v>
      </c>
      <c r="AA40">
        <f t="shared" si="3"/>
        <v>0</v>
      </c>
      <c r="AB40">
        <f t="shared" si="4"/>
        <v>0</v>
      </c>
    </row>
    <row r="41" spans="1:28" ht="25.5" x14ac:dyDescent="0.25">
      <c r="A41" s="7">
        <v>40</v>
      </c>
      <c r="B41" s="7" t="s">
        <v>15</v>
      </c>
      <c r="C41" s="7" t="s">
        <v>95</v>
      </c>
      <c r="D41" s="7" t="s">
        <v>137</v>
      </c>
      <c r="E41" s="7"/>
      <c r="F41" s="8"/>
      <c r="G41" s="7" t="s">
        <v>137</v>
      </c>
      <c r="H41" s="9">
        <v>36.542735</v>
      </c>
      <c r="I41" s="9">
        <v>10.890905</v>
      </c>
      <c r="J41" s="7" t="s">
        <v>97</v>
      </c>
      <c r="K41" s="7" t="s">
        <v>37</v>
      </c>
      <c r="L41" s="7"/>
      <c r="M41" s="10">
        <v>16.63</v>
      </c>
      <c r="N41" s="7" t="s">
        <v>78</v>
      </c>
      <c r="O41" s="7"/>
      <c r="P41" s="8" t="s">
        <v>39</v>
      </c>
      <c r="Q41">
        <v>7.98</v>
      </c>
      <c r="R41">
        <v>23.1</v>
      </c>
      <c r="S41" t="s">
        <v>53</v>
      </c>
      <c r="T41">
        <v>14</v>
      </c>
      <c r="U41">
        <f t="shared" si="0"/>
        <v>111.72</v>
      </c>
      <c r="V41">
        <v>1.1499999999999999</v>
      </c>
      <c r="W41">
        <v>160</v>
      </c>
      <c r="X41">
        <v>0.35</v>
      </c>
      <c r="Y41">
        <f t="shared" si="1"/>
        <v>56</v>
      </c>
      <c r="Z41">
        <f t="shared" si="2"/>
        <v>128.47799999999998</v>
      </c>
      <c r="AA41">
        <f t="shared" si="3"/>
        <v>72.47799999999998</v>
      </c>
      <c r="AB41">
        <f t="shared" si="4"/>
        <v>1205.3091399999996</v>
      </c>
    </row>
    <row r="42" spans="1:28" ht="25.5" x14ac:dyDescent="0.25">
      <c r="A42" s="7">
        <v>41</v>
      </c>
      <c r="B42" s="7" t="s">
        <v>15</v>
      </c>
      <c r="C42" s="7" t="s">
        <v>98</v>
      </c>
      <c r="D42" s="7" t="s">
        <v>138</v>
      </c>
      <c r="E42" s="7"/>
      <c r="F42" s="8"/>
      <c r="G42" s="7" t="s">
        <v>138</v>
      </c>
      <c r="H42" s="9">
        <v>34.767482000000001</v>
      </c>
      <c r="I42" s="9">
        <v>10.497458999999999</v>
      </c>
      <c r="J42" s="7" t="s">
        <v>100</v>
      </c>
      <c r="K42" s="7" t="s">
        <v>37</v>
      </c>
      <c r="L42" s="7"/>
      <c r="M42" s="10">
        <v>0.81</v>
      </c>
      <c r="N42" s="7" t="s">
        <v>38</v>
      </c>
      <c r="O42" s="7"/>
      <c r="P42" s="8" t="s">
        <v>39</v>
      </c>
      <c r="Q42">
        <v>4.42</v>
      </c>
      <c r="R42">
        <v>36.200000000000003</v>
      </c>
      <c r="S42" t="s">
        <v>40</v>
      </c>
      <c r="T42">
        <v>18</v>
      </c>
      <c r="U42">
        <f t="shared" si="0"/>
        <v>79.56</v>
      </c>
      <c r="V42">
        <v>0.6</v>
      </c>
      <c r="W42">
        <v>160</v>
      </c>
      <c r="X42">
        <v>0.35</v>
      </c>
      <c r="Y42">
        <f t="shared" si="1"/>
        <v>56</v>
      </c>
      <c r="Z42">
        <f t="shared" si="2"/>
        <v>47.735999999999997</v>
      </c>
      <c r="AA42">
        <f t="shared" si="3"/>
        <v>0</v>
      </c>
      <c r="AB42">
        <f t="shared" si="4"/>
        <v>0</v>
      </c>
    </row>
    <row r="43" spans="1:28" ht="25.5" x14ac:dyDescent="0.25">
      <c r="A43" s="7">
        <v>42</v>
      </c>
      <c r="B43" s="7" t="s">
        <v>15</v>
      </c>
      <c r="C43" s="7" t="s">
        <v>101</v>
      </c>
      <c r="D43" s="7" t="s">
        <v>139</v>
      </c>
      <c r="E43" s="7"/>
      <c r="F43" s="8"/>
      <c r="G43" s="7" t="s">
        <v>139</v>
      </c>
      <c r="H43" s="9">
        <v>34.926284000000003</v>
      </c>
      <c r="I43" s="9">
        <v>9.7863589999999991</v>
      </c>
      <c r="J43" s="7" t="s">
        <v>103</v>
      </c>
      <c r="K43" s="7" t="s">
        <v>37</v>
      </c>
      <c r="L43" s="7"/>
      <c r="M43" s="10">
        <v>7.63</v>
      </c>
      <c r="N43" s="7" t="s">
        <v>44</v>
      </c>
      <c r="O43" s="7"/>
      <c r="P43" s="8" t="s">
        <v>39</v>
      </c>
      <c r="Q43">
        <v>1.95</v>
      </c>
      <c r="R43">
        <v>34.9</v>
      </c>
      <c r="S43" t="s">
        <v>58</v>
      </c>
      <c r="T43">
        <v>18</v>
      </c>
      <c r="U43">
        <f t="shared" si="0"/>
        <v>35.1</v>
      </c>
      <c r="V43">
        <v>0.9</v>
      </c>
      <c r="W43">
        <v>160</v>
      </c>
      <c r="X43">
        <v>0.35</v>
      </c>
      <c r="Y43">
        <f t="shared" si="1"/>
        <v>56</v>
      </c>
      <c r="Z43">
        <f t="shared" si="2"/>
        <v>31.590000000000003</v>
      </c>
      <c r="AA43">
        <f t="shared" si="3"/>
        <v>0</v>
      </c>
      <c r="AB43">
        <f t="shared" si="4"/>
        <v>0</v>
      </c>
    </row>
    <row r="44" spans="1:28" ht="25.5" x14ac:dyDescent="0.25">
      <c r="A44" s="7">
        <v>43</v>
      </c>
      <c r="B44" s="7" t="s">
        <v>15</v>
      </c>
      <c r="C44" s="7" t="s">
        <v>104</v>
      </c>
      <c r="D44" s="7" t="s">
        <v>140</v>
      </c>
      <c r="E44" s="7"/>
      <c r="F44" s="8"/>
      <c r="G44" s="7" t="s">
        <v>140</v>
      </c>
      <c r="H44" s="9">
        <v>35.840761000000001</v>
      </c>
      <c r="I44" s="9">
        <v>9.2239830000000005</v>
      </c>
      <c r="J44" s="7" t="s">
        <v>106</v>
      </c>
      <c r="K44" s="7" t="s">
        <v>37</v>
      </c>
      <c r="L44" s="7"/>
      <c r="M44" s="10">
        <v>14.93</v>
      </c>
      <c r="N44" s="7" t="s">
        <v>48</v>
      </c>
      <c r="O44" s="7"/>
      <c r="P44" s="8" t="s">
        <v>39</v>
      </c>
      <c r="Q44">
        <v>3.1</v>
      </c>
      <c r="R44">
        <v>32.299999999999997</v>
      </c>
      <c r="S44" t="s">
        <v>58</v>
      </c>
      <c r="T44">
        <v>16</v>
      </c>
      <c r="U44">
        <f t="shared" si="0"/>
        <v>49.6</v>
      </c>
      <c r="V44">
        <v>0.81</v>
      </c>
      <c r="W44">
        <v>0</v>
      </c>
      <c r="X44">
        <v>0</v>
      </c>
      <c r="Y44">
        <f t="shared" si="1"/>
        <v>0</v>
      </c>
      <c r="Z44">
        <f t="shared" si="2"/>
        <v>40.176000000000002</v>
      </c>
      <c r="AA44">
        <f t="shared" si="3"/>
        <v>40.176000000000002</v>
      </c>
      <c r="AB44">
        <f t="shared" si="4"/>
        <v>599.82767999999999</v>
      </c>
    </row>
    <row r="45" spans="1:28" ht="25.5" x14ac:dyDescent="0.25">
      <c r="A45" s="7">
        <v>44</v>
      </c>
      <c r="B45" s="7" t="s">
        <v>15</v>
      </c>
      <c r="C45" s="7" t="s">
        <v>107</v>
      </c>
      <c r="D45" s="7" t="s">
        <v>141</v>
      </c>
      <c r="E45" s="7"/>
      <c r="F45" s="8"/>
      <c r="G45" s="7" t="s">
        <v>141</v>
      </c>
      <c r="H45" s="9">
        <v>36.152366999999998</v>
      </c>
      <c r="I45" s="9">
        <v>10.399072</v>
      </c>
      <c r="J45" s="7" t="s">
        <v>109</v>
      </c>
      <c r="K45" s="7" t="s">
        <v>37</v>
      </c>
      <c r="L45" s="7"/>
      <c r="M45" s="10">
        <v>18.739999999999998</v>
      </c>
      <c r="N45" s="7" t="s">
        <v>52</v>
      </c>
      <c r="O45" s="7"/>
      <c r="P45" s="8" t="s">
        <v>39</v>
      </c>
      <c r="Q45">
        <v>2.98</v>
      </c>
      <c r="R45">
        <v>17</v>
      </c>
      <c r="S45" t="s">
        <v>53</v>
      </c>
      <c r="T45">
        <v>12</v>
      </c>
      <c r="U45">
        <f t="shared" si="0"/>
        <v>35.76</v>
      </c>
      <c r="V45">
        <v>1.26</v>
      </c>
      <c r="W45">
        <v>120</v>
      </c>
      <c r="X45">
        <v>0.35</v>
      </c>
      <c r="Y45">
        <f t="shared" si="1"/>
        <v>42</v>
      </c>
      <c r="Z45">
        <f t="shared" si="2"/>
        <v>45.057600000000001</v>
      </c>
      <c r="AA45">
        <f t="shared" si="3"/>
        <v>3.0576000000000008</v>
      </c>
      <c r="AB45">
        <f t="shared" si="4"/>
        <v>57.299424000000009</v>
      </c>
    </row>
    <row r="46" spans="1:28" ht="25.5" x14ac:dyDescent="0.25">
      <c r="A46" s="7">
        <v>45</v>
      </c>
      <c r="B46" s="7" t="s">
        <v>15</v>
      </c>
      <c r="C46" s="7" t="s">
        <v>110</v>
      </c>
      <c r="D46" s="7" t="s">
        <v>142</v>
      </c>
      <c r="E46" s="7"/>
      <c r="F46" s="8"/>
      <c r="G46" s="7" t="s">
        <v>142</v>
      </c>
      <c r="H46" s="9">
        <v>33.184978000000001</v>
      </c>
      <c r="I46" s="9">
        <v>10.229993</v>
      </c>
      <c r="J46" s="7" t="s">
        <v>112</v>
      </c>
      <c r="K46" s="7" t="s">
        <v>37</v>
      </c>
      <c r="L46" s="7"/>
      <c r="M46" s="10">
        <v>12.32</v>
      </c>
      <c r="N46" s="7" t="s">
        <v>57</v>
      </c>
      <c r="O46" s="7"/>
      <c r="P46" s="8" t="s">
        <v>39</v>
      </c>
      <c r="Q46">
        <v>1.8</v>
      </c>
      <c r="R46">
        <v>19</v>
      </c>
      <c r="S46" t="s">
        <v>53</v>
      </c>
      <c r="T46">
        <v>8</v>
      </c>
      <c r="U46">
        <f t="shared" si="0"/>
        <v>14.4</v>
      </c>
      <c r="V46">
        <v>1.38</v>
      </c>
      <c r="W46">
        <v>0</v>
      </c>
      <c r="X46">
        <v>0</v>
      </c>
      <c r="Y46">
        <f t="shared" si="1"/>
        <v>0</v>
      </c>
      <c r="Z46">
        <f t="shared" si="2"/>
        <v>19.872</v>
      </c>
      <c r="AA46">
        <f t="shared" si="3"/>
        <v>19.872</v>
      </c>
      <c r="AB46">
        <f t="shared" si="4"/>
        <v>244.82303999999999</v>
      </c>
    </row>
    <row r="47" spans="1:28" ht="25.5" x14ac:dyDescent="0.25">
      <c r="A47" s="7">
        <v>46</v>
      </c>
      <c r="B47" s="7" t="s">
        <v>15</v>
      </c>
      <c r="C47" s="7" t="s">
        <v>113</v>
      </c>
      <c r="D47" s="7" t="s">
        <v>143</v>
      </c>
      <c r="E47" s="7"/>
      <c r="F47" s="8"/>
      <c r="G47" s="7" t="s">
        <v>143</v>
      </c>
      <c r="H47" s="9">
        <v>33.884115000000001</v>
      </c>
      <c r="I47" s="9">
        <v>7.8636590000000002</v>
      </c>
      <c r="J47" s="7" t="s">
        <v>115</v>
      </c>
      <c r="K47" s="7" t="s">
        <v>37</v>
      </c>
      <c r="L47" s="7"/>
      <c r="M47" s="10">
        <v>16.600000000000001</v>
      </c>
      <c r="N47" s="7" t="s">
        <v>62</v>
      </c>
      <c r="O47" s="7"/>
      <c r="P47" s="8" t="s">
        <v>39</v>
      </c>
      <c r="Q47">
        <v>6.19</v>
      </c>
      <c r="R47">
        <v>23.4</v>
      </c>
      <c r="S47" t="s">
        <v>53</v>
      </c>
      <c r="T47">
        <v>7</v>
      </c>
      <c r="U47">
        <f t="shared" si="0"/>
        <v>43.330000000000005</v>
      </c>
      <c r="V47">
        <v>1.26</v>
      </c>
      <c r="W47">
        <v>120</v>
      </c>
      <c r="X47">
        <v>0.35</v>
      </c>
      <c r="Y47">
        <f t="shared" si="1"/>
        <v>42</v>
      </c>
      <c r="Z47">
        <f t="shared" si="2"/>
        <v>54.595800000000004</v>
      </c>
      <c r="AA47">
        <f t="shared" si="3"/>
        <v>12.595800000000004</v>
      </c>
      <c r="AB47">
        <f t="shared" si="4"/>
        <v>209.09028000000009</v>
      </c>
    </row>
    <row r="48" spans="1:28" ht="25.5" x14ac:dyDescent="0.25">
      <c r="A48" s="7">
        <v>47</v>
      </c>
      <c r="B48" s="7" t="s">
        <v>15</v>
      </c>
      <c r="C48" s="7" t="s">
        <v>116</v>
      </c>
      <c r="D48" s="7" t="s">
        <v>144</v>
      </c>
      <c r="E48" s="7"/>
      <c r="F48" s="8"/>
      <c r="G48" s="7" t="s">
        <v>144</v>
      </c>
      <c r="H48" s="9">
        <v>36.864333000000002</v>
      </c>
      <c r="I48" s="9">
        <v>10.334021999999999</v>
      </c>
      <c r="J48" s="7" t="s">
        <v>118</v>
      </c>
      <c r="K48" s="7" t="s">
        <v>37</v>
      </c>
      <c r="L48" s="7"/>
      <c r="M48" s="10">
        <v>13.78</v>
      </c>
      <c r="N48" s="7" t="s">
        <v>66</v>
      </c>
      <c r="O48" s="7"/>
      <c r="P48" s="8" t="s">
        <v>39</v>
      </c>
      <c r="Q48">
        <v>6.25</v>
      </c>
      <c r="R48">
        <v>35.5</v>
      </c>
      <c r="S48" t="s">
        <v>40</v>
      </c>
      <c r="T48">
        <v>10</v>
      </c>
      <c r="U48">
        <f t="shared" si="0"/>
        <v>62.5</v>
      </c>
      <c r="V48">
        <v>0.48</v>
      </c>
      <c r="W48">
        <v>0</v>
      </c>
      <c r="X48">
        <v>0</v>
      </c>
      <c r="Y48">
        <f t="shared" si="1"/>
        <v>0</v>
      </c>
      <c r="Z48">
        <f t="shared" si="2"/>
        <v>30</v>
      </c>
      <c r="AA48">
        <f t="shared" si="3"/>
        <v>30</v>
      </c>
      <c r="AB48">
        <f t="shared" si="4"/>
        <v>413.4</v>
      </c>
    </row>
    <row r="49" spans="1:28" ht="25.5" x14ac:dyDescent="0.25">
      <c r="A49" s="7">
        <v>48</v>
      </c>
      <c r="B49" s="7" t="s">
        <v>15</v>
      </c>
      <c r="C49" s="7" t="s">
        <v>119</v>
      </c>
      <c r="D49" s="7" t="s">
        <v>145</v>
      </c>
      <c r="E49" s="7"/>
      <c r="F49" s="8"/>
      <c r="G49" s="7" t="s">
        <v>145</v>
      </c>
      <c r="H49" s="9">
        <v>36.380707999999998</v>
      </c>
      <c r="I49" s="9">
        <v>9.6086899999999993</v>
      </c>
      <c r="J49" s="7" t="s">
        <v>121</v>
      </c>
      <c r="K49" s="7" t="s">
        <v>37</v>
      </c>
      <c r="L49" s="7"/>
      <c r="M49" s="10">
        <v>0.79</v>
      </c>
      <c r="N49" s="7" t="s">
        <v>70</v>
      </c>
      <c r="O49" s="7"/>
      <c r="P49" s="8" t="s">
        <v>39</v>
      </c>
      <c r="Q49">
        <v>6.26</v>
      </c>
      <c r="R49">
        <v>14.5</v>
      </c>
      <c r="S49" t="s">
        <v>91</v>
      </c>
      <c r="T49">
        <v>9</v>
      </c>
      <c r="U49">
        <f t="shared" si="0"/>
        <v>56.339999999999996</v>
      </c>
      <c r="V49">
        <v>1.22</v>
      </c>
      <c r="W49">
        <v>160</v>
      </c>
      <c r="X49">
        <v>0.35</v>
      </c>
      <c r="Y49">
        <f t="shared" si="1"/>
        <v>56</v>
      </c>
      <c r="Z49">
        <f t="shared" si="2"/>
        <v>68.734799999999993</v>
      </c>
      <c r="AA49">
        <f t="shared" si="3"/>
        <v>12.734799999999993</v>
      </c>
      <c r="AB49">
        <f t="shared" si="4"/>
        <v>10.060491999999995</v>
      </c>
    </row>
    <row r="50" spans="1:28" ht="25.5" x14ac:dyDescent="0.25">
      <c r="A50" s="7">
        <v>49</v>
      </c>
      <c r="B50" s="7" t="s">
        <v>15</v>
      </c>
      <c r="C50" s="7" t="s">
        <v>34</v>
      </c>
      <c r="D50" s="7" t="s">
        <v>146</v>
      </c>
      <c r="E50" s="7"/>
      <c r="F50" s="8"/>
      <c r="G50" s="7" t="s">
        <v>146</v>
      </c>
      <c r="H50" s="9">
        <v>36.894486999999998</v>
      </c>
      <c r="I50" s="9">
        <v>10.235063999999999</v>
      </c>
      <c r="J50" s="7" t="s">
        <v>36</v>
      </c>
      <c r="K50" s="7" t="s">
        <v>37</v>
      </c>
      <c r="L50" s="7"/>
      <c r="M50" s="10">
        <v>24.31</v>
      </c>
      <c r="N50" s="7" t="s">
        <v>74</v>
      </c>
      <c r="O50" s="7"/>
      <c r="P50" s="8" t="s">
        <v>39</v>
      </c>
      <c r="Q50">
        <v>4.17</v>
      </c>
      <c r="R50">
        <v>39.1</v>
      </c>
      <c r="S50" t="s">
        <v>40</v>
      </c>
      <c r="T50">
        <v>10</v>
      </c>
      <c r="U50">
        <f t="shared" si="0"/>
        <v>41.7</v>
      </c>
      <c r="V50">
        <v>0.54</v>
      </c>
      <c r="W50">
        <v>0</v>
      </c>
      <c r="X50">
        <v>0</v>
      </c>
      <c r="Y50">
        <f t="shared" si="1"/>
        <v>0</v>
      </c>
      <c r="Z50">
        <f t="shared" si="2"/>
        <v>22.518000000000004</v>
      </c>
      <c r="AA50">
        <f t="shared" si="3"/>
        <v>22.518000000000004</v>
      </c>
      <c r="AB50">
        <f t="shared" si="4"/>
        <v>547.41258000000005</v>
      </c>
    </row>
    <row r="51" spans="1:28" ht="25.5" x14ac:dyDescent="0.25">
      <c r="A51" s="7">
        <v>50</v>
      </c>
      <c r="B51" s="7" t="s">
        <v>15</v>
      </c>
      <c r="C51" s="7" t="s">
        <v>41</v>
      </c>
      <c r="D51" s="7" t="s">
        <v>147</v>
      </c>
      <c r="E51" s="7"/>
      <c r="F51" s="8"/>
      <c r="G51" s="7" t="s">
        <v>147</v>
      </c>
      <c r="H51" s="9">
        <v>36.652250000000002</v>
      </c>
      <c r="I51" s="9">
        <v>9.6222019999999997</v>
      </c>
      <c r="J51" s="7" t="s">
        <v>43</v>
      </c>
      <c r="K51" s="7" t="s">
        <v>37</v>
      </c>
      <c r="L51" s="7"/>
      <c r="M51" s="10">
        <v>14.07</v>
      </c>
      <c r="N51" s="7" t="s">
        <v>78</v>
      </c>
      <c r="O51" s="7"/>
      <c r="P51" s="8" t="s">
        <v>39</v>
      </c>
      <c r="Q51">
        <v>4.66</v>
      </c>
      <c r="R51">
        <v>25.4</v>
      </c>
      <c r="S51" t="s">
        <v>58</v>
      </c>
      <c r="T51">
        <v>14</v>
      </c>
      <c r="U51">
        <f t="shared" si="0"/>
        <v>65.240000000000009</v>
      </c>
      <c r="V51">
        <v>0.9</v>
      </c>
      <c r="W51">
        <v>0</v>
      </c>
      <c r="X51">
        <v>0</v>
      </c>
      <c r="Y51">
        <f t="shared" si="1"/>
        <v>0</v>
      </c>
      <c r="Z51">
        <f t="shared" si="2"/>
        <v>58.716000000000008</v>
      </c>
      <c r="AA51">
        <f t="shared" si="3"/>
        <v>58.716000000000008</v>
      </c>
      <c r="AB51">
        <f t="shared" si="4"/>
        <v>826.13412000000017</v>
      </c>
    </row>
    <row r="52" spans="1:28" ht="25.5" x14ac:dyDescent="0.25">
      <c r="A52" s="7">
        <v>51</v>
      </c>
      <c r="B52" s="7" t="s">
        <v>15</v>
      </c>
      <c r="C52" s="7" t="s">
        <v>45</v>
      </c>
      <c r="D52" s="7" t="s">
        <v>148</v>
      </c>
      <c r="E52" s="7"/>
      <c r="F52" s="8"/>
      <c r="G52" s="7" t="s">
        <v>148</v>
      </c>
      <c r="H52" s="9">
        <v>36.596646999999997</v>
      </c>
      <c r="I52" s="9">
        <v>10.3049</v>
      </c>
      <c r="J52" s="7" t="s">
        <v>47</v>
      </c>
      <c r="K52" s="7" t="s">
        <v>37</v>
      </c>
      <c r="L52" s="7"/>
      <c r="M52" s="10">
        <v>3.05</v>
      </c>
      <c r="N52" s="7" t="s">
        <v>38</v>
      </c>
      <c r="O52" s="7"/>
      <c r="P52" s="8" t="s">
        <v>39</v>
      </c>
      <c r="Q52">
        <v>5.43</v>
      </c>
      <c r="R52">
        <v>39.700000000000003</v>
      </c>
      <c r="S52" t="s">
        <v>40</v>
      </c>
      <c r="T52">
        <v>18</v>
      </c>
      <c r="U52">
        <f t="shared" si="0"/>
        <v>97.74</v>
      </c>
      <c r="V52">
        <v>0.6</v>
      </c>
      <c r="W52">
        <v>120</v>
      </c>
      <c r="X52">
        <v>0.35</v>
      </c>
      <c r="Y52">
        <f t="shared" si="1"/>
        <v>42</v>
      </c>
      <c r="Z52">
        <f t="shared" si="2"/>
        <v>58.643999999999991</v>
      </c>
      <c r="AA52">
        <f t="shared" si="3"/>
        <v>16.643999999999991</v>
      </c>
      <c r="AB52">
        <f t="shared" si="4"/>
        <v>50.764199999999967</v>
      </c>
    </row>
    <row r="53" spans="1:28" ht="25.5" x14ac:dyDescent="0.25">
      <c r="A53" s="7">
        <v>52</v>
      </c>
      <c r="B53" s="7" t="s">
        <v>15</v>
      </c>
      <c r="C53" s="7" t="s">
        <v>49</v>
      </c>
      <c r="D53" s="7" t="s">
        <v>149</v>
      </c>
      <c r="E53" s="7"/>
      <c r="F53" s="8"/>
      <c r="G53" s="7" t="s">
        <v>149</v>
      </c>
      <c r="H53" s="9">
        <v>37.163876000000002</v>
      </c>
      <c r="I53" s="9">
        <v>9.784808</v>
      </c>
      <c r="J53" s="7" t="s">
        <v>51</v>
      </c>
      <c r="K53" s="7" t="s">
        <v>37</v>
      </c>
      <c r="L53" s="7"/>
      <c r="M53" s="10">
        <v>10.14</v>
      </c>
      <c r="N53" s="7" t="s">
        <v>44</v>
      </c>
      <c r="O53" s="7"/>
      <c r="P53" s="8" t="s">
        <v>39</v>
      </c>
      <c r="Q53">
        <v>7.55</v>
      </c>
      <c r="R53">
        <v>28.4</v>
      </c>
      <c r="S53" t="s">
        <v>58</v>
      </c>
      <c r="T53">
        <v>18</v>
      </c>
      <c r="U53">
        <f t="shared" si="0"/>
        <v>135.9</v>
      </c>
      <c r="V53">
        <v>0.9</v>
      </c>
      <c r="W53">
        <v>120</v>
      </c>
      <c r="X53">
        <v>0.35</v>
      </c>
      <c r="Y53">
        <f t="shared" si="1"/>
        <v>42</v>
      </c>
      <c r="Z53">
        <f t="shared" si="2"/>
        <v>122.31</v>
      </c>
      <c r="AA53">
        <f t="shared" si="3"/>
        <v>80.31</v>
      </c>
      <c r="AB53">
        <f t="shared" si="4"/>
        <v>814.34340000000009</v>
      </c>
    </row>
    <row r="54" spans="1:28" ht="25.5" x14ac:dyDescent="0.25">
      <c r="A54" s="7">
        <v>53</v>
      </c>
      <c r="B54" s="7" t="s">
        <v>15</v>
      </c>
      <c r="C54" s="7" t="s">
        <v>54</v>
      </c>
      <c r="D54" s="7" t="s">
        <v>150</v>
      </c>
      <c r="E54" s="7"/>
      <c r="F54" s="8"/>
      <c r="G54" s="7" t="s">
        <v>150</v>
      </c>
      <c r="H54" s="9">
        <v>33.642685999999998</v>
      </c>
      <c r="I54" s="9">
        <v>10.274475000000001</v>
      </c>
      <c r="J54" s="7" t="s">
        <v>56</v>
      </c>
      <c r="K54" s="7" t="s">
        <v>37</v>
      </c>
      <c r="L54" s="7"/>
      <c r="M54" s="10">
        <v>9.64</v>
      </c>
      <c r="N54" s="7" t="s">
        <v>48</v>
      </c>
      <c r="O54" s="7"/>
      <c r="P54" s="8" t="s">
        <v>39</v>
      </c>
      <c r="Q54">
        <v>3.52</v>
      </c>
      <c r="R54">
        <v>40.5</v>
      </c>
      <c r="S54" t="s">
        <v>40</v>
      </c>
      <c r="T54">
        <v>16</v>
      </c>
      <c r="U54">
        <f t="shared" si="0"/>
        <v>56.32</v>
      </c>
      <c r="V54">
        <v>0.54</v>
      </c>
      <c r="W54">
        <v>160</v>
      </c>
      <c r="X54">
        <v>0.35</v>
      </c>
      <c r="Y54">
        <f t="shared" si="1"/>
        <v>56</v>
      </c>
      <c r="Z54">
        <f t="shared" si="2"/>
        <v>30.412800000000001</v>
      </c>
      <c r="AA54">
        <f t="shared" si="3"/>
        <v>0</v>
      </c>
      <c r="AB54">
        <f t="shared" si="4"/>
        <v>0</v>
      </c>
    </row>
    <row r="55" spans="1:28" ht="25.5" x14ac:dyDescent="0.25">
      <c r="A55" s="7">
        <v>54</v>
      </c>
      <c r="B55" s="7" t="s">
        <v>15</v>
      </c>
      <c r="C55" s="7" t="s">
        <v>59</v>
      </c>
      <c r="D55" s="7" t="s">
        <v>151</v>
      </c>
      <c r="E55" s="7"/>
      <c r="F55" s="8"/>
      <c r="G55" s="7" t="s">
        <v>151</v>
      </c>
      <c r="H55" s="9">
        <v>34.328581</v>
      </c>
      <c r="I55" s="9">
        <v>8.4099109999999992</v>
      </c>
      <c r="J55" s="7" t="s">
        <v>61</v>
      </c>
      <c r="K55" s="7" t="s">
        <v>37</v>
      </c>
      <c r="L55" s="7"/>
      <c r="M55" s="10">
        <v>4.6100000000000003</v>
      </c>
      <c r="N55" s="7" t="s">
        <v>52</v>
      </c>
      <c r="O55" s="7"/>
      <c r="P55" s="8" t="s">
        <v>39</v>
      </c>
      <c r="Q55">
        <v>5.07</v>
      </c>
      <c r="R55">
        <v>13.3</v>
      </c>
      <c r="S55" t="s">
        <v>91</v>
      </c>
      <c r="T55">
        <v>12</v>
      </c>
      <c r="U55">
        <f t="shared" si="0"/>
        <v>60.84</v>
      </c>
      <c r="V55">
        <v>1.49</v>
      </c>
      <c r="W55">
        <v>0</v>
      </c>
      <c r="X55">
        <v>0</v>
      </c>
      <c r="Y55">
        <f t="shared" si="1"/>
        <v>0</v>
      </c>
      <c r="Z55">
        <f t="shared" si="2"/>
        <v>90.651600000000002</v>
      </c>
      <c r="AA55">
        <f t="shared" si="3"/>
        <v>90.651600000000002</v>
      </c>
      <c r="AB55">
        <f t="shared" si="4"/>
        <v>417.90387600000003</v>
      </c>
    </row>
    <row r="56" spans="1:28" ht="25.5" x14ac:dyDescent="0.25">
      <c r="A56" s="7">
        <v>55</v>
      </c>
      <c r="B56" s="7" t="s">
        <v>15</v>
      </c>
      <c r="C56" s="7" t="s">
        <v>63</v>
      </c>
      <c r="D56" s="7" t="s">
        <v>152</v>
      </c>
      <c r="E56" s="7"/>
      <c r="F56" s="8"/>
      <c r="G56" s="7" t="s">
        <v>152</v>
      </c>
      <c r="H56" s="9">
        <v>36.971831000000002</v>
      </c>
      <c r="I56" s="9">
        <v>8.7645389999999992</v>
      </c>
      <c r="J56" s="7" t="s">
        <v>65</v>
      </c>
      <c r="K56" s="7" t="s">
        <v>37</v>
      </c>
      <c r="L56" s="7"/>
      <c r="M56" s="10">
        <v>6.66</v>
      </c>
      <c r="N56" s="7" t="s">
        <v>57</v>
      </c>
      <c r="O56" s="7"/>
      <c r="P56" s="8" t="s">
        <v>39</v>
      </c>
      <c r="Q56">
        <v>2.0699999999999998</v>
      </c>
      <c r="R56">
        <v>11.9</v>
      </c>
      <c r="S56" t="s">
        <v>91</v>
      </c>
      <c r="T56">
        <v>8</v>
      </c>
      <c r="U56">
        <f t="shared" si="0"/>
        <v>16.559999999999999</v>
      </c>
      <c r="V56">
        <v>1.6</v>
      </c>
      <c r="W56">
        <v>0</v>
      </c>
      <c r="X56">
        <v>0</v>
      </c>
      <c r="Y56">
        <f t="shared" si="1"/>
        <v>0</v>
      </c>
      <c r="Z56">
        <f t="shared" si="2"/>
        <v>26.495999999999999</v>
      </c>
      <c r="AA56">
        <f t="shared" si="3"/>
        <v>26.495999999999999</v>
      </c>
      <c r="AB56">
        <f t="shared" si="4"/>
        <v>176.46335999999999</v>
      </c>
    </row>
    <row r="57" spans="1:28" ht="25.5" x14ac:dyDescent="0.25">
      <c r="A57" s="7">
        <v>56</v>
      </c>
      <c r="B57" s="7" t="s">
        <v>15</v>
      </c>
      <c r="C57" s="7" t="s">
        <v>67</v>
      </c>
      <c r="D57" s="7" t="s">
        <v>153</v>
      </c>
      <c r="E57" s="7"/>
      <c r="F57" s="8"/>
      <c r="G57" s="7" t="s">
        <v>153</v>
      </c>
      <c r="H57" s="9">
        <v>35.598255999999999</v>
      </c>
      <c r="I57" s="9">
        <v>9.9094850000000001</v>
      </c>
      <c r="J57" s="7" t="s">
        <v>69</v>
      </c>
      <c r="K57" s="7" t="s">
        <v>37</v>
      </c>
      <c r="L57" s="7"/>
      <c r="M57" s="10">
        <v>14.3</v>
      </c>
      <c r="N57" s="7" t="s">
        <v>62</v>
      </c>
      <c r="O57" s="7"/>
      <c r="P57" s="8" t="s">
        <v>39</v>
      </c>
      <c r="Q57">
        <v>4.66</v>
      </c>
      <c r="R57">
        <v>15.9</v>
      </c>
      <c r="S57" t="s">
        <v>53</v>
      </c>
      <c r="T57">
        <v>7</v>
      </c>
      <c r="U57">
        <f t="shared" si="0"/>
        <v>32.620000000000005</v>
      </c>
      <c r="V57">
        <v>1.26</v>
      </c>
      <c r="W57">
        <v>0</v>
      </c>
      <c r="X57">
        <v>0</v>
      </c>
      <c r="Y57">
        <f t="shared" si="1"/>
        <v>0</v>
      </c>
      <c r="Z57">
        <f t="shared" si="2"/>
        <v>41.101200000000006</v>
      </c>
      <c r="AA57">
        <f t="shared" si="3"/>
        <v>41.101200000000006</v>
      </c>
      <c r="AB57">
        <f t="shared" si="4"/>
        <v>587.74716000000012</v>
      </c>
    </row>
    <row r="58" spans="1:28" ht="25.5" x14ac:dyDescent="0.25">
      <c r="A58" s="7">
        <v>57</v>
      </c>
      <c r="B58" s="7" t="s">
        <v>15</v>
      </c>
      <c r="C58" s="7" t="s">
        <v>71</v>
      </c>
      <c r="D58" s="7" t="s">
        <v>154</v>
      </c>
      <c r="E58" s="7"/>
      <c r="F58" s="8"/>
      <c r="G58" s="7" t="s">
        <v>154</v>
      </c>
      <c r="H58" s="9">
        <v>35.214984999999999</v>
      </c>
      <c r="I58" s="9">
        <v>9.0920570000000005</v>
      </c>
      <c r="J58" s="7" t="s">
        <v>73</v>
      </c>
      <c r="K58" s="7" t="s">
        <v>37</v>
      </c>
      <c r="L58" s="7"/>
      <c r="M58" s="10">
        <v>12.3</v>
      </c>
      <c r="N58" s="7" t="s">
        <v>66</v>
      </c>
      <c r="O58" s="7"/>
      <c r="P58" s="8" t="s">
        <v>39</v>
      </c>
      <c r="Q58">
        <v>3.32</v>
      </c>
      <c r="R58">
        <v>14.4</v>
      </c>
      <c r="S58" t="s">
        <v>91</v>
      </c>
      <c r="T58">
        <v>10</v>
      </c>
      <c r="U58">
        <f t="shared" si="0"/>
        <v>33.199999999999996</v>
      </c>
      <c r="V58">
        <v>1.08</v>
      </c>
      <c r="W58">
        <v>160</v>
      </c>
      <c r="X58">
        <v>0.35</v>
      </c>
      <c r="Y58">
        <f t="shared" si="1"/>
        <v>56</v>
      </c>
      <c r="Z58">
        <f t="shared" si="2"/>
        <v>35.855999999999995</v>
      </c>
      <c r="AA58">
        <f t="shared" si="3"/>
        <v>0</v>
      </c>
      <c r="AB58">
        <f t="shared" si="4"/>
        <v>0</v>
      </c>
    </row>
    <row r="59" spans="1:28" ht="25.5" x14ac:dyDescent="0.25">
      <c r="A59" s="7">
        <v>58</v>
      </c>
      <c r="B59" s="7" t="s">
        <v>15</v>
      </c>
      <c r="C59" s="7" t="s">
        <v>75</v>
      </c>
      <c r="D59" s="7" t="s">
        <v>155</v>
      </c>
      <c r="E59" s="7"/>
      <c r="F59" s="8"/>
      <c r="G59" s="7" t="s">
        <v>155</v>
      </c>
      <c r="H59" s="9">
        <v>33.484642999999998</v>
      </c>
      <c r="I59" s="9">
        <v>9.0063379999999995</v>
      </c>
      <c r="J59" s="7" t="s">
        <v>77</v>
      </c>
      <c r="K59" s="7" t="s">
        <v>37</v>
      </c>
      <c r="L59" s="7"/>
      <c r="M59" s="10">
        <v>20.38</v>
      </c>
      <c r="N59" s="7" t="s">
        <v>70</v>
      </c>
      <c r="O59" s="7"/>
      <c r="P59" s="8" t="s">
        <v>39</v>
      </c>
      <c r="Q59">
        <v>4.3099999999999996</v>
      </c>
      <c r="R59">
        <v>12.9</v>
      </c>
      <c r="S59" t="s">
        <v>91</v>
      </c>
      <c r="T59">
        <v>9</v>
      </c>
      <c r="U59">
        <f t="shared" si="0"/>
        <v>38.79</v>
      </c>
      <c r="V59">
        <v>1.22</v>
      </c>
      <c r="W59">
        <v>120</v>
      </c>
      <c r="X59">
        <v>0.35</v>
      </c>
      <c r="Y59">
        <f t="shared" si="1"/>
        <v>42</v>
      </c>
      <c r="Z59">
        <f t="shared" si="2"/>
        <v>47.323799999999999</v>
      </c>
      <c r="AA59">
        <f t="shared" si="3"/>
        <v>5.3237999999999985</v>
      </c>
      <c r="AB59">
        <f t="shared" si="4"/>
        <v>108.49904399999997</v>
      </c>
    </row>
    <row r="60" spans="1:28" ht="25.5" x14ac:dyDescent="0.25">
      <c r="A60" s="7">
        <v>59</v>
      </c>
      <c r="B60" s="7" t="s">
        <v>15</v>
      </c>
      <c r="C60" s="7" t="s">
        <v>79</v>
      </c>
      <c r="D60" s="7" t="s">
        <v>156</v>
      </c>
      <c r="E60" s="7"/>
      <c r="F60" s="8"/>
      <c r="G60" s="7" t="s">
        <v>156</v>
      </c>
      <c r="H60" s="9">
        <v>35.934007000000001</v>
      </c>
      <c r="I60" s="9">
        <v>8.8323289999999997</v>
      </c>
      <c r="J60" s="7" t="s">
        <v>81</v>
      </c>
      <c r="K60" s="7" t="s">
        <v>37</v>
      </c>
      <c r="L60" s="7"/>
      <c r="M60" s="10">
        <v>13.86</v>
      </c>
      <c r="N60" s="7" t="s">
        <v>74</v>
      </c>
      <c r="O60" s="7"/>
      <c r="P60" s="8" t="s">
        <v>39</v>
      </c>
      <c r="Q60">
        <v>3.76</v>
      </c>
      <c r="R60">
        <v>28.7</v>
      </c>
      <c r="S60" t="s">
        <v>58</v>
      </c>
      <c r="T60">
        <v>10</v>
      </c>
      <c r="U60">
        <f t="shared" si="0"/>
        <v>37.599999999999994</v>
      </c>
      <c r="V60">
        <v>0.81</v>
      </c>
      <c r="W60">
        <v>160</v>
      </c>
      <c r="X60">
        <v>0.35</v>
      </c>
      <c r="Y60">
        <f t="shared" si="1"/>
        <v>56</v>
      </c>
      <c r="Z60">
        <f t="shared" si="2"/>
        <v>30.455999999999996</v>
      </c>
      <c r="AA60">
        <f t="shared" si="3"/>
        <v>0</v>
      </c>
      <c r="AB60">
        <f t="shared" si="4"/>
        <v>0</v>
      </c>
    </row>
    <row r="61" spans="1:28" ht="25.5" x14ac:dyDescent="0.25">
      <c r="A61" s="7">
        <v>60</v>
      </c>
      <c r="B61" s="7" t="s">
        <v>15</v>
      </c>
      <c r="C61" s="7" t="s">
        <v>82</v>
      </c>
      <c r="D61" s="7" t="s">
        <v>157</v>
      </c>
      <c r="E61" s="7"/>
      <c r="F61" s="8"/>
      <c r="G61" s="7" t="s">
        <v>157</v>
      </c>
      <c r="H61" s="9">
        <v>35.240161999999998</v>
      </c>
      <c r="I61" s="9">
        <v>11.109726999999999</v>
      </c>
      <c r="J61" s="7" t="s">
        <v>84</v>
      </c>
      <c r="K61" s="7" t="s">
        <v>37</v>
      </c>
      <c r="L61" s="7"/>
      <c r="M61" s="10">
        <v>12.27</v>
      </c>
      <c r="N61" s="7" t="s">
        <v>78</v>
      </c>
      <c r="O61" s="7"/>
      <c r="P61" s="8" t="s">
        <v>39</v>
      </c>
      <c r="Q61">
        <v>5.6</v>
      </c>
      <c r="R61">
        <v>18.3</v>
      </c>
      <c r="S61" t="s">
        <v>53</v>
      </c>
      <c r="T61">
        <v>14</v>
      </c>
      <c r="U61">
        <f t="shared" si="0"/>
        <v>78.399999999999991</v>
      </c>
      <c r="V61">
        <v>1.1499999999999999</v>
      </c>
      <c r="W61">
        <v>0</v>
      </c>
      <c r="X61">
        <v>0</v>
      </c>
      <c r="Y61">
        <f t="shared" si="1"/>
        <v>0</v>
      </c>
      <c r="Z61">
        <f t="shared" si="2"/>
        <v>90.159999999999982</v>
      </c>
      <c r="AA61">
        <f t="shared" si="3"/>
        <v>90.159999999999982</v>
      </c>
      <c r="AB61">
        <f t="shared" si="4"/>
        <v>1106.2631999999996</v>
      </c>
    </row>
    <row r="62" spans="1:28" ht="25.5" x14ac:dyDescent="0.25">
      <c r="A62" s="7">
        <v>61</v>
      </c>
      <c r="B62" s="7" t="s">
        <v>15</v>
      </c>
      <c r="C62" s="7" t="s">
        <v>85</v>
      </c>
      <c r="D62" s="7" t="s">
        <v>158</v>
      </c>
      <c r="E62" s="7"/>
      <c r="F62" s="8"/>
      <c r="G62" s="7" t="s">
        <v>158</v>
      </c>
      <c r="H62" s="9">
        <v>36.842858999999997</v>
      </c>
      <c r="I62" s="9">
        <v>9.8425670000000007</v>
      </c>
      <c r="J62" s="7" t="s">
        <v>87</v>
      </c>
      <c r="K62" s="7" t="s">
        <v>37</v>
      </c>
      <c r="L62" s="7"/>
      <c r="M62" s="10">
        <v>4.68</v>
      </c>
      <c r="N62" s="7" t="s">
        <v>38</v>
      </c>
      <c r="O62" s="7"/>
      <c r="P62" s="8" t="s">
        <v>39</v>
      </c>
      <c r="Q62">
        <v>7.2</v>
      </c>
      <c r="R62">
        <v>19.100000000000001</v>
      </c>
      <c r="S62" t="s">
        <v>53</v>
      </c>
      <c r="T62">
        <v>18</v>
      </c>
      <c r="U62">
        <f t="shared" si="0"/>
        <v>129.6</v>
      </c>
      <c r="V62">
        <v>1.1499999999999999</v>
      </c>
      <c r="W62">
        <v>160</v>
      </c>
      <c r="X62">
        <v>0.35</v>
      </c>
      <c r="Y62">
        <f t="shared" si="1"/>
        <v>56</v>
      </c>
      <c r="Z62">
        <f t="shared" si="2"/>
        <v>149.04</v>
      </c>
      <c r="AA62">
        <f t="shared" si="3"/>
        <v>93.039999999999992</v>
      </c>
      <c r="AB62">
        <f t="shared" si="4"/>
        <v>435.42719999999991</v>
      </c>
    </row>
    <row r="63" spans="1:28" ht="25.5" x14ac:dyDescent="0.25">
      <c r="A63" s="7">
        <v>62</v>
      </c>
      <c r="B63" s="7" t="s">
        <v>15</v>
      </c>
      <c r="C63" s="7" t="s">
        <v>88</v>
      </c>
      <c r="D63" s="7" t="s">
        <v>159</v>
      </c>
      <c r="E63" s="7"/>
      <c r="F63" s="8"/>
      <c r="G63" s="7" t="s">
        <v>159</v>
      </c>
      <c r="H63" s="9">
        <v>33.822400999999999</v>
      </c>
      <c r="I63" s="9">
        <v>10.987119</v>
      </c>
      <c r="J63" s="7" t="s">
        <v>90</v>
      </c>
      <c r="K63" s="7" t="s">
        <v>37</v>
      </c>
      <c r="L63" s="7"/>
      <c r="M63" s="10">
        <v>10.76</v>
      </c>
      <c r="N63" s="7" t="s">
        <v>44</v>
      </c>
      <c r="O63" s="7"/>
      <c r="P63" s="8" t="s">
        <v>39</v>
      </c>
      <c r="Q63">
        <v>5.29</v>
      </c>
      <c r="R63">
        <v>26.5</v>
      </c>
      <c r="S63" t="s">
        <v>58</v>
      </c>
      <c r="T63">
        <v>18</v>
      </c>
      <c r="U63">
        <f t="shared" si="0"/>
        <v>95.22</v>
      </c>
      <c r="V63">
        <v>0.9</v>
      </c>
      <c r="W63">
        <v>160</v>
      </c>
      <c r="X63">
        <v>0.35</v>
      </c>
      <c r="Y63">
        <f t="shared" si="1"/>
        <v>56</v>
      </c>
      <c r="Z63">
        <f t="shared" si="2"/>
        <v>85.698000000000008</v>
      </c>
      <c r="AA63">
        <f t="shared" si="3"/>
        <v>29.698000000000008</v>
      </c>
      <c r="AB63">
        <f t="shared" si="4"/>
        <v>319.55048000000005</v>
      </c>
    </row>
    <row r="64" spans="1:28" ht="25.5" x14ac:dyDescent="0.25">
      <c r="A64" s="7">
        <v>63</v>
      </c>
      <c r="B64" s="7" t="s">
        <v>15</v>
      </c>
      <c r="C64" s="7" t="s">
        <v>92</v>
      </c>
      <c r="D64" s="7" t="s">
        <v>160</v>
      </c>
      <c r="E64" s="7"/>
      <c r="F64" s="8"/>
      <c r="G64" s="7" t="s">
        <v>160</v>
      </c>
      <c r="H64" s="9">
        <v>35.599975999999998</v>
      </c>
      <c r="I64" s="9">
        <v>10.742736000000001</v>
      </c>
      <c r="J64" s="7" t="s">
        <v>94</v>
      </c>
      <c r="K64" s="7" t="s">
        <v>37</v>
      </c>
      <c r="L64" s="7"/>
      <c r="M64" s="10">
        <v>15.77</v>
      </c>
      <c r="N64" s="7" t="s">
        <v>48</v>
      </c>
      <c r="O64" s="7"/>
      <c r="P64" s="8" t="s">
        <v>39</v>
      </c>
      <c r="Q64">
        <v>5.14</v>
      </c>
      <c r="R64">
        <v>37.9</v>
      </c>
      <c r="S64" t="s">
        <v>40</v>
      </c>
      <c r="T64">
        <v>16</v>
      </c>
      <c r="U64">
        <f t="shared" si="0"/>
        <v>82.24</v>
      </c>
      <c r="V64">
        <v>0.54</v>
      </c>
      <c r="W64">
        <v>80</v>
      </c>
      <c r="X64">
        <v>0.35</v>
      </c>
      <c r="Y64">
        <f t="shared" si="1"/>
        <v>28</v>
      </c>
      <c r="Z64">
        <f t="shared" si="2"/>
        <v>44.409599999999998</v>
      </c>
      <c r="AA64">
        <f t="shared" si="3"/>
        <v>16.409599999999998</v>
      </c>
      <c r="AB64">
        <f t="shared" si="4"/>
        <v>258.77939199999997</v>
      </c>
    </row>
    <row r="65" spans="1:28" ht="25.5" x14ac:dyDescent="0.25">
      <c r="A65" s="7">
        <v>64</v>
      </c>
      <c r="B65" s="7" t="s">
        <v>15</v>
      </c>
      <c r="C65" s="7" t="s">
        <v>95</v>
      </c>
      <c r="D65" s="7" t="s">
        <v>161</v>
      </c>
      <c r="E65" s="7"/>
      <c r="F65" s="8"/>
      <c r="G65" s="7" t="s">
        <v>161</v>
      </c>
      <c r="H65" s="9">
        <v>36.544854999999998</v>
      </c>
      <c r="I65" s="9">
        <v>10.871032</v>
      </c>
      <c r="J65" s="7" t="s">
        <v>97</v>
      </c>
      <c r="K65" s="7" t="s">
        <v>37</v>
      </c>
      <c r="L65" s="7"/>
      <c r="M65" s="10">
        <v>21.41</v>
      </c>
      <c r="N65" s="7" t="s">
        <v>52</v>
      </c>
      <c r="O65" s="7"/>
      <c r="P65" s="8" t="s">
        <v>39</v>
      </c>
      <c r="Q65">
        <v>7.22</v>
      </c>
      <c r="R65">
        <v>43.9</v>
      </c>
      <c r="S65" t="s">
        <v>40</v>
      </c>
      <c r="T65">
        <v>12</v>
      </c>
      <c r="U65">
        <f t="shared" si="0"/>
        <v>86.64</v>
      </c>
      <c r="V65">
        <v>0.66</v>
      </c>
      <c r="W65">
        <v>80</v>
      </c>
      <c r="X65">
        <v>0.35</v>
      </c>
      <c r="Y65">
        <f t="shared" si="1"/>
        <v>28</v>
      </c>
      <c r="Z65">
        <f t="shared" si="2"/>
        <v>57.182400000000001</v>
      </c>
      <c r="AA65">
        <f t="shared" si="3"/>
        <v>29.182400000000001</v>
      </c>
      <c r="AB65">
        <f t="shared" si="4"/>
        <v>624.79518400000006</v>
      </c>
    </row>
    <row r="66" spans="1:28" ht="25.5" x14ac:dyDescent="0.25">
      <c r="A66" s="7">
        <v>65</v>
      </c>
      <c r="B66" s="7" t="s">
        <v>15</v>
      </c>
      <c r="C66" s="7" t="s">
        <v>98</v>
      </c>
      <c r="D66" s="7" t="s">
        <v>162</v>
      </c>
      <c r="E66" s="7"/>
      <c r="F66" s="8"/>
      <c r="G66" s="7" t="s">
        <v>162</v>
      </c>
      <c r="H66" s="9">
        <v>34.756653</v>
      </c>
      <c r="I66" s="9">
        <v>10.498211</v>
      </c>
      <c r="J66" s="7" t="s">
        <v>100</v>
      </c>
      <c r="K66" s="7" t="s">
        <v>37</v>
      </c>
      <c r="L66" s="7"/>
      <c r="M66" s="10">
        <v>22.29</v>
      </c>
      <c r="N66" s="7" t="s">
        <v>57</v>
      </c>
      <c r="O66" s="7"/>
      <c r="P66" s="8" t="s">
        <v>39</v>
      </c>
      <c r="Q66">
        <v>3.57</v>
      </c>
      <c r="R66">
        <v>33.700000000000003</v>
      </c>
      <c r="S66" t="s">
        <v>58</v>
      </c>
      <c r="T66">
        <v>8</v>
      </c>
      <c r="U66">
        <f t="shared" ref="U66:U129" si="5">Q66*T66</f>
        <v>28.56</v>
      </c>
      <c r="V66">
        <v>1.08</v>
      </c>
      <c r="W66">
        <v>80</v>
      </c>
      <c r="X66">
        <v>0.35</v>
      </c>
      <c r="Y66">
        <f t="shared" ref="Y66:Y129" si="6">W66*X66</f>
        <v>28</v>
      </c>
      <c r="Z66">
        <f t="shared" ref="Z66:Z129" si="7">U66*V66</f>
        <v>30.844799999999999</v>
      </c>
      <c r="AA66">
        <f t="shared" ref="AA66:AA129" si="8">MAX(0,Z66-Y66)</f>
        <v>2.8447999999999993</v>
      </c>
      <c r="AB66">
        <f t="shared" si="4"/>
        <v>63.41059199999998</v>
      </c>
    </row>
    <row r="67" spans="1:28" ht="25.5" x14ac:dyDescent="0.25">
      <c r="A67" s="7">
        <v>66</v>
      </c>
      <c r="B67" s="7" t="s">
        <v>15</v>
      </c>
      <c r="C67" s="7" t="s">
        <v>101</v>
      </c>
      <c r="D67" s="7" t="s">
        <v>163</v>
      </c>
      <c r="E67" s="7"/>
      <c r="F67" s="8"/>
      <c r="G67" s="7" t="s">
        <v>163</v>
      </c>
      <c r="H67" s="9">
        <v>34.912531999999999</v>
      </c>
      <c r="I67" s="9">
        <v>9.8007519999999992</v>
      </c>
      <c r="J67" s="7" t="s">
        <v>103</v>
      </c>
      <c r="K67" s="7" t="s">
        <v>37</v>
      </c>
      <c r="L67" s="7"/>
      <c r="M67" s="10">
        <v>11</v>
      </c>
      <c r="N67" s="7" t="s">
        <v>62</v>
      </c>
      <c r="O67" s="7"/>
      <c r="P67" s="8" t="s">
        <v>39</v>
      </c>
      <c r="Q67">
        <v>6.43</v>
      </c>
      <c r="R67">
        <v>27.8</v>
      </c>
      <c r="S67" t="s">
        <v>58</v>
      </c>
      <c r="T67">
        <v>7</v>
      </c>
      <c r="U67">
        <f t="shared" si="5"/>
        <v>45.01</v>
      </c>
      <c r="V67">
        <v>0.99</v>
      </c>
      <c r="W67">
        <v>50</v>
      </c>
      <c r="X67">
        <v>0.35</v>
      </c>
      <c r="Y67">
        <f t="shared" si="6"/>
        <v>17.5</v>
      </c>
      <c r="Z67">
        <f t="shared" si="7"/>
        <v>44.559899999999999</v>
      </c>
      <c r="AA67">
        <f t="shared" si="8"/>
        <v>27.059899999999999</v>
      </c>
      <c r="AB67">
        <f t="shared" ref="AB67:AB130" si="9">AA67*M67</f>
        <v>297.65890000000002</v>
      </c>
    </row>
    <row r="68" spans="1:28" ht="25.5" x14ac:dyDescent="0.25">
      <c r="A68" s="7">
        <v>67</v>
      </c>
      <c r="B68" s="7" t="s">
        <v>15</v>
      </c>
      <c r="C68" s="7" t="s">
        <v>104</v>
      </c>
      <c r="D68" s="7" t="s">
        <v>164</v>
      </c>
      <c r="E68" s="7"/>
      <c r="F68" s="8"/>
      <c r="G68" s="7" t="s">
        <v>164</v>
      </c>
      <c r="H68" s="9">
        <v>35.848754999999997</v>
      </c>
      <c r="I68" s="9">
        <v>9.2132729999999992</v>
      </c>
      <c r="J68" s="7" t="s">
        <v>106</v>
      </c>
      <c r="K68" s="7" t="s">
        <v>37</v>
      </c>
      <c r="L68" s="7"/>
      <c r="M68" s="10">
        <v>8.8800000000000008</v>
      </c>
      <c r="N68" s="7" t="s">
        <v>66</v>
      </c>
      <c r="O68" s="7"/>
      <c r="P68" s="8" t="s">
        <v>39</v>
      </c>
      <c r="Q68">
        <v>7.44</v>
      </c>
      <c r="R68">
        <v>37.9</v>
      </c>
      <c r="S68" t="s">
        <v>40</v>
      </c>
      <c r="T68">
        <v>10</v>
      </c>
      <c r="U68">
        <f t="shared" si="5"/>
        <v>74.400000000000006</v>
      </c>
      <c r="V68">
        <v>0.48</v>
      </c>
      <c r="W68">
        <v>160</v>
      </c>
      <c r="X68">
        <v>0.35</v>
      </c>
      <c r="Y68">
        <f t="shared" si="6"/>
        <v>56</v>
      </c>
      <c r="Z68">
        <f t="shared" si="7"/>
        <v>35.712000000000003</v>
      </c>
      <c r="AA68">
        <f t="shared" si="8"/>
        <v>0</v>
      </c>
      <c r="AB68">
        <f t="shared" si="9"/>
        <v>0</v>
      </c>
    </row>
    <row r="69" spans="1:28" ht="25.5" x14ac:dyDescent="0.25">
      <c r="A69" s="7">
        <v>68</v>
      </c>
      <c r="B69" s="7" t="s">
        <v>15</v>
      </c>
      <c r="C69" s="7" t="s">
        <v>107</v>
      </c>
      <c r="D69" s="7" t="s">
        <v>165</v>
      </c>
      <c r="E69" s="7"/>
      <c r="F69" s="8"/>
      <c r="G69" s="7" t="s">
        <v>165</v>
      </c>
      <c r="H69" s="9">
        <v>36.136001</v>
      </c>
      <c r="I69" s="9">
        <v>10.394081</v>
      </c>
      <c r="J69" s="7" t="s">
        <v>109</v>
      </c>
      <c r="K69" s="7" t="s">
        <v>37</v>
      </c>
      <c r="L69" s="7"/>
      <c r="M69" s="10">
        <v>10.9</v>
      </c>
      <c r="N69" s="7" t="s">
        <v>70</v>
      </c>
      <c r="O69" s="7"/>
      <c r="P69" s="8" t="s">
        <v>39</v>
      </c>
      <c r="Q69">
        <v>3.43</v>
      </c>
      <c r="R69">
        <v>40.700000000000003</v>
      </c>
      <c r="S69" t="s">
        <v>40</v>
      </c>
      <c r="T69">
        <v>9</v>
      </c>
      <c r="U69">
        <f t="shared" si="5"/>
        <v>30.87</v>
      </c>
      <c r="V69">
        <v>0.54</v>
      </c>
      <c r="W69">
        <v>0</v>
      </c>
      <c r="X69">
        <v>0</v>
      </c>
      <c r="Y69">
        <f t="shared" si="6"/>
        <v>0</v>
      </c>
      <c r="Z69">
        <f t="shared" si="7"/>
        <v>16.669800000000002</v>
      </c>
      <c r="AA69">
        <f t="shared" si="8"/>
        <v>16.669800000000002</v>
      </c>
      <c r="AB69">
        <f t="shared" si="9"/>
        <v>181.70082000000002</v>
      </c>
    </row>
    <row r="70" spans="1:28" ht="25.5" x14ac:dyDescent="0.25">
      <c r="A70" s="7">
        <v>69</v>
      </c>
      <c r="B70" s="7" t="s">
        <v>15</v>
      </c>
      <c r="C70" s="7" t="s">
        <v>110</v>
      </c>
      <c r="D70" s="7" t="s">
        <v>166</v>
      </c>
      <c r="E70" s="7"/>
      <c r="F70" s="8"/>
      <c r="G70" s="7" t="s">
        <v>166</v>
      </c>
      <c r="H70" s="9">
        <v>33.188189000000001</v>
      </c>
      <c r="I70" s="9">
        <v>10.226781000000001</v>
      </c>
      <c r="J70" s="7" t="s">
        <v>112</v>
      </c>
      <c r="K70" s="7" t="s">
        <v>37</v>
      </c>
      <c r="L70" s="7"/>
      <c r="M70" s="10">
        <v>1.38</v>
      </c>
      <c r="N70" s="7" t="s">
        <v>74</v>
      </c>
      <c r="O70" s="7"/>
      <c r="P70" s="8" t="s">
        <v>39</v>
      </c>
      <c r="Q70">
        <v>7.73</v>
      </c>
      <c r="R70">
        <v>24.1</v>
      </c>
      <c r="S70" t="s">
        <v>53</v>
      </c>
      <c r="T70">
        <v>10</v>
      </c>
      <c r="U70">
        <f t="shared" si="5"/>
        <v>77.300000000000011</v>
      </c>
      <c r="V70">
        <v>1.03</v>
      </c>
      <c r="W70">
        <v>0</v>
      </c>
      <c r="X70">
        <v>0</v>
      </c>
      <c r="Y70">
        <f t="shared" si="6"/>
        <v>0</v>
      </c>
      <c r="Z70">
        <f t="shared" si="7"/>
        <v>79.619000000000014</v>
      </c>
      <c r="AA70">
        <f t="shared" si="8"/>
        <v>79.619000000000014</v>
      </c>
      <c r="AB70">
        <f t="shared" si="9"/>
        <v>109.87422000000001</v>
      </c>
    </row>
    <row r="71" spans="1:28" ht="25.5" x14ac:dyDescent="0.25">
      <c r="A71" s="7">
        <v>70</v>
      </c>
      <c r="B71" s="7" t="s">
        <v>15</v>
      </c>
      <c r="C71" s="7" t="s">
        <v>113</v>
      </c>
      <c r="D71" s="7" t="s">
        <v>167</v>
      </c>
      <c r="E71" s="7"/>
      <c r="F71" s="8"/>
      <c r="G71" s="7" t="s">
        <v>167</v>
      </c>
      <c r="H71" s="9">
        <v>33.885714</v>
      </c>
      <c r="I71" s="9">
        <v>7.8935230000000001</v>
      </c>
      <c r="J71" s="7" t="s">
        <v>115</v>
      </c>
      <c r="K71" s="7" t="s">
        <v>37</v>
      </c>
      <c r="L71" s="7"/>
      <c r="M71" s="10">
        <v>10.94</v>
      </c>
      <c r="N71" s="7" t="s">
        <v>78</v>
      </c>
      <c r="O71" s="7"/>
      <c r="P71" s="8" t="s">
        <v>39</v>
      </c>
      <c r="Q71">
        <v>5.75</v>
      </c>
      <c r="R71">
        <v>41.5</v>
      </c>
      <c r="S71" t="s">
        <v>40</v>
      </c>
      <c r="T71">
        <v>14</v>
      </c>
      <c r="U71">
        <f t="shared" si="5"/>
        <v>80.5</v>
      </c>
      <c r="V71">
        <v>0.6</v>
      </c>
      <c r="W71">
        <v>0</v>
      </c>
      <c r="X71">
        <v>0</v>
      </c>
      <c r="Y71">
        <f t="shared" si="6"/>
        <v>0</v>
      </c>
      <c r="Z71">
        <f t="shared" si="7"/>
        <v>48.3</v>
      </c>
      <c r="AA71">
        <f t="shared" si="8"/>
        <v>48.3</v>
      </c>
      <c r="AB71">
        <f t="shared" si="9"/>
        <v>528.40199999999993</v>
      </c>
    </row>
    <row r="72" spans="1:28" ht="25.5" x14ac:dyDescent="0.25">
      <c r="A72" s="7">
        <v>71</v>
      </c>
      <c r="B72" s="7" t="s">
        <v>15</v>
      </c>
      <c r="C72" s="7" t="s">
        <v>116</v>
      </c>
      <c r="D72" s="7" t="s">
        <v>168</v>
      </c>
      <c r="E72" s="7"/>
      <c r="F72" s="8"/>
      <c r="G72" s="7" t="s">
        <v>168</v>
      </c>
      <c r="H72" s="9">
        <v>36.828364000000001</v>
      </c>
      <c r="I72" s="9">
        <v>10.304123000000001</v>
      </c>
      <c r="J72" s="7" t="s">
        <v>118</v>
      </c>
      <c r="K72" s="7" t="s">
        <v>37</v>
      </c>
      <c r="L72" s="7"/>
      <c r="M72" s="10">
        <v>5.15</v>
      </c>
      <c r="N72" s="7" t="s">
        <v>38</v>
      </c>
      <c r="O72" s="7"/>
      <c r="P72" s="8" t="s">
        <v>39</v>
      </c>
      <c r="Q72">
        <v>4.8</v>
      </c>
      <c r="R72">
        <v>14.7</v>
      </c>
      <c r="S72" t="s">
        <v>91</v>
      </c>
      <c r="T72">
        <v>18</v>
      </c>
      <c r="U72">
        <f t="shared" si="5"/>
        <v>86.399999999999991</v>
      </c>
      <c r="V72">
        <v>1.35</v>
      </c>
      <c r="W72">
        <v>160</v>
      </c>
      <c r="X72">
        <v>0.35</v>
      </c>
      <c r="Y72">
        <f t="shared" si="6"/>
        <v>56</v>
      </c>
      <c r="Z72">
        <f t="shared" si="7"/>
        <v>116.64</v>
      </c>
      <c r="AA72">
        <f t="shared" si="8"/>
        <v>60.64</v>
      </c>
      <c r="AB72">
        <f t="shared" si="9"/>
        <v>312.29600000000005</v>
      </c>
    </row>
    <row r="73" spans="1:28" ht="25.5" x14ac:dyDescent="0.25">
      <c r="A73" s="7">
        <v>72</v>
      </c>
      <c r="B73" s="7" t="s">
        <v>15</v>
      </c>
      <c r="C73" s="7" t="s">
        <v>119</v>
      </c>
      <c r="D73" s="7" t="s">
        <v>169</v>
      </c>
      <c r="E73" s="7"/>
      <c r="F73" s="8"/>
      <c r="G73" s="7" t="s">
        <v>169</v>
      </c>
      <c r="H73" s="9">
        <v>36.361279000000003</v>
      </c>
      <c r="I73" s="9">
        <v>9.5957659999999994</v>
      </c>
      <c r="J73" s="7" t="s">
        <v>121</v>
      </c>
      <c r="K73" s="7" t="s">
        <v>37</v>
      </c>
      <c r="L73" s="7"/>
      <c r="M73" s="10">
        <v>10.050000000000001</v>
      </c>
      <c r="N73" s="7" t="s">
        <v>44</v>
      </c>
      <c r="O73" s="7"/>
      <c r="P73" s="8" t="s">
        <v>39</v>
      </c>
      <c r="Q73">
        <v>7.81</v>
      </c>
      <c r="R73">
        <v>28</v>
      </c>
      <c r="S73" t="s">
        <v>58</v>
      </c>
      <c r="T73">
        <v>18</v>
      </c>
      <c r="U73">
        <f t="shared" si="5"/>
        <v>140.57999999999998</v>
      </c>
      <c r="V73">
        <v>0.9</v>
      </c>
      <c r="W73">
        <v>120</v>
      </c>
      <c r="X73">
        <v>0.35</v>
      </c>
      <c r="Y73">
        <f t="shared" si="6"/>
        <v>42</v>
      </c>
      <c r="Z73">
        <f t="shared" si="7"/>
        <v>126.52199999999999</v>
      </c>
      <c r="AA73">
        <f t="shared" si="8"/>
        <v>84.521999999999991</v>
      </c>
      <c r="AB73">
        <f t="shared" si="9"/>
        <v>849.4461</v>
      </c>
    </row>
    <row r="74" spans="1:28" ht="25.5" x14ac:dyDescent="0.25">
      <c r="A74" s="7">
        <v>73</v>
      </c>
      <c r="B74" s="7" t="s">
        <v>15</v>
      </c>
      <c r="C74" s="7" t="s">
        <v>34</v>
      </c>
      <c r="D74" s="7" t="s">
        <v>170</v>
      </c>
      <c r="E74" s="7"/>
      <c r="F74" s="8"/>
      <c r="G74" s="7" t="s">
        <v>170</v>
      </c>
      <c r="H74" s="9">
        <v>36.886966999999999</v>
      </c>
      <c r="I74" s="9">
        <v>10.240302</v>
      </c>
      <c r="J74" s="7" t="s">
        <v>36</v>
      </c>
      <c r="K74" s="7" t="s">
        <v>37</v>
      </c>
      <c r="L74" s="7"/>
      <c r="M74" s="10">
        <v>2.63</v>
      </c>
      <c r="N74" s="7" t="s">
        <v>48</v>
      </c>
      <c r="O74" s="7"/>
      <c r="P74" s="8" t="s">
        <v>39</v>
      </c>
      <c r="Q74">
        <v>6.22</v>
      </c>
      <c r="R74">
        <v>12.2</v>
      </c>
      <c r="S74" t="s">
        <v>91</v>
      </c>
      <c r="T74">
        <v>16</v>
      </c>
      <c r="U74">
        <f t="shared" si="5"/>
        <v>99.52</v>
      </c>
      <c r="V74">
        <v>1.22</v>
      </c>
      <c r="W74">
        <v>0</v>
      </c>
      <c r="X74">
        <v>0</v>
      </c>
      <c r="Y74">
        <f t="shared" si="6"/>
        <v>0</v>
      </c>
      <c r="Z74">
        <f t="shared" si="7"/>
        <v>121.41439999999999</v>
      </c>
      <c r="AA74">
        <f t="shared" si="8"/>
        <v>121.41439999999999</v>
      </c>
      <c r="AB74">
        <f t="shared" si="9"/>
        <v>319.31987199999998</v>
      </c>
    </row>
    <row r="75" spans="1:28" ht="25.5" x14ac:dyDescent="0.25">
      <c r="A75" s="7">
        <v>74</v>
      </c>
      <c r="B75" s="7" t="s">
        <v>15</v>
      </c>
      <c r="C75" s="7" t="s">
        <v>41</v>
      </c>
      <c r="D75" s="7" t="s">
        <v>171</v>
      </c>
      <c r="E75" s="7"/>
      <c r="F75" s="8"/>
      <c r="G75" s="7" t="s">
        <v>171</v>
      </c>
      <c r="H75" s="9">
        <v>36.642589999999998</v>
      </c>
      <c r="I75" s="9">
        <v>9.6312160000000002</v>
      </c>
      <c r="J75" s="7" t="s">
        <v>43</v>
      </c>
      <c r="K75" s="7" t="s">
        <v>37</v>
      </c>
      <c r="L75" s="7"/>
      <c r="M75" s="10">
        <v>9.14</v>
      </c>
      <c r="N75" s="7" t="s">
        <v>52</v>
      </c>
      <c r="O75" s="7"/>
      <c r="P75" s="8" t="s">
        <v>39</v>
      </c>
      <c r="Q75">
        <v>3.1</v>
      </c>
      <c r="R75">
        <v>37</v>
      </c>
      <c r="S75" t="s">
        <v>40</v>
      </c>
      <c r="T75">
        <v>12</v>
      </c>
      <c r="U75">
        <f t="shared" si="5"/>
        <v>37.200000000000003</v>
      </c>
      <c r="V75">
        <v>0.66</v>
      </c>
      <c r="W75">
        <v>160</v>
      </c>
      <c r="X75">
        <v>0.35</v>
      </c>
      <c r="Y75">
        <f t="shared" si="6"/>
        <v>56</v>
      </c>
      <c r="Z75">
        <f t="shared" si="7"/>
        <v>24.552000000000003</v>
      </c>
      <c r="AA75">
        <f t="shared" si="8"/>
        <v>0</v>
      </c>
      <c r="AB75">
        <f t="shared" si="9"/>
        <v>0</v>
      </c>
    </row>
    <row r="76" spans="1:28" ht="25.5" x14ac:dyDescent="0.25">
      <c r="A76" s="7">
        <v>75</v>
      </c>
      <c r="B76" s="7" t="s">
        <v>15</v>
      </c>
      <c r="C76" s="7" t="s">
        <v>45</v>
      </c>
      <c r="D76" s="7" t="s">
        <v>172</v>
      </c>
      <c r="E76" s="7"/>
      <c r="F76" s="8"/>
      <c r="G76" s="7" t="s">
        <v>172</v>
      </c>
      <c r="H76" s="9">
        <v>36.599518000000003</v>
      </c>
      <c r="I76" s="9">
        <v>10.323985</v>
      </c>
      <c r="J76" s="7" t="s">
        <v>47</v>
      </c>
      <c r="K76" s="7" t="s">
        <v>37</v>
      </c>
      <c r="L76" s="7"/>
      <c r="M76" s="10">
        <v>18.05</v>
      </c>
      <c r="N76" s="7" t="s">
        <v>57</v>
      </c>
      <c r="O76" s="7"/>
      <c r="P76" s="8" t="s">
        <v>39</v>
      </c>
      <c r="Q76">
        <v>3.56</v>
      </c>
      <c r="R76">
        <v>36.700000000000003</v>
      </c>
      <c r="S76" t="s">
        <v>40</v>
      </c>
      <c r="T76">
        <v>8</v>
      </c>
      <c r="U76">
        <f t="shared" si="5"/>
        <v>28.48</v>
      </c>
      <c r="V76">
        <v>0.72</v>
      </c>
      <c r="W76">
        <v>0</v>
      </c>
      <c r="X76">
        <v>0</v>
      </c>
      <c r="Y76">
        <f t="shared" si="6"/>
        <v>0</v>
      </c>
      <c r="Z76">
        <f t="shared" si="7"/>
        <v>20.505600000000001</v>
      </c>
      <c r="AA76">
        <f t="shared" si="8"/>
        <v>20.505600000000001</v>
      </c>
      <c r="AB76">
        <f t="shared" si="9"/>
        <v>370.12608000000006</v>
      </c>
    </row>
    <row r="77" spans="1:28" ht="25.5" x14ac:dyDescent="0.25">
      <c r="A77" s="7">
        <v>76</v>
      </c>
      <c r="B77" s="7" t="s">
        <v>15</v>
      </c>
      <c r="C77" s="7" t="s">
        <v>49</v>
      </c>
      <c r="D77" s="7" t="s">
        <v>173</v>
      </c>
      <c r="E77" s="7"/>
      <c r="F77" s="8"/>
      <c r="G77" s="7" t="s">
        <v>173</v>
      </c>
      <c r="H77" s="9">
        <v>37.169483999999997</v>
      </c>
      <c r="I77" s="9">
        <v>9.7996040000000004</v>
      </c>
      <c r="J77" s="7" t="s">
        <v>51</v>
      </c>
      <c r="K77" s="7" t="s">
        <v>37</v>
      </c>
      <c r="L77" s="7"/>
      <c r="M77" s="10">
        <v>19.03</v>
      </c>
      <c r="N77" s="7" t="s">
        <v>62</v>
      </c>
      <c r="O77" s="7"/>
      <c r="P77" s="8" t="s">
        <v>39</v>
      </c>
      <c r="Q77">
        <v>5.94</v>
      </c>
      <c r="R77">
        <v>19.8</v>
      </c>
      <c r="S77" t="s">
        <v>53</v>
      </c>
      <c r="T77">
        <v>7</v>
      </c>
      <c r="U77">
        <f t="shared" si="5"/>
        <v>41.580000000000005</v>
      </c>
      <c r="V77">
        <v>1.26</v>
      </c>
      <c r="W77">
        <v>0</v>
      </c>
      <c r="X77">
        <v>0</v>
      </c>
      <c r="Y77">
        <f t="shared" si="6"/>
        <v>0</v>
      </c>
      <c r="Z77">
        <f t="shared" si="7"/>
        <v>52.390800000000006</v>
      </c>
      <c r="AA77">
        <f t="shared" si="8"/>
        <v>52.390800000000006</v>
      </c>
      <c r="AB77">
        <f t="shared" si="9"/>
        <v>996.99692400000015</v>
      </c>
    </row>
    <row r="78" spans="1:28" ht="25.5" x14ac:dyDescent="0.25">
      <c r="A78" s="7">
        <v>77</v>
      </c>
      <c r="B78" s="7" t="s">
        <v>15</v>
      </c>
      <c r="C78" s="7" t="s">
        <v>54</v>
      </c>
      <c r="D78" s="7" t="s">
        <v>174</v>
      </c>
      <c r="E78" s="7"/>
      <c r="F78" s="8"/>
      <c r="G78" s="7" t="s">
        <v>174</v>
      </c>
      <c r="H78" s="9">
        <v>33.640571000000001</v>
      </c>
      <c r="I78" s="9">
        <v>10.263095</v>
      </c>
      <c r="J78" s="7" t="s">
        <v>56</v>
      </c>
      <c r="K78" s="7" t="s">
        <v>37</v>
      </c>
      <c r="L78" s="7"/>
      <c r="M78" s="10">
        <v>1.57</v>
      </c>
      <c r="N78" s="7" t="s">
        <v>66</v>
      </c>
      <c r="O78" s="7"/>
      <c r="P78" s="8" t="s">
        <v>39</v>
      </c>
      <c r="Q78">
        <v>3.18</v>
      </c>
      <c r="R78">
        <v>25.5</v>
      </c>
      <c r="S78" t="s">
        <v>58</v>
      </c>
      <c r="T78">
        <v>10</v>
      </c>
      <c r="U78">
        <f t="shared" si="5"/>
        <v>31.8</v>
      </c>
      <c r="V78">
        <v>0.72</v>
      </c>
      <c r="W78">
        <v>80</v>
      </c>
      <c r="X78">
        <v>0.35</v>
      </c>
      <c r="Y78">
        <f t="shared" si="6"/>
        <v>28</v>
      </c>
      <c r="Z78">
        <f t="shared" si="7"/>
        <v>22.896000000000001</v>
      </c>
      <c r="AA78">
        <f t="shared" si="8"/>
        <v>0</v>
      </c>
      <c r="AB78">
        <f t="shared" si="9"/>
        <v>0</v>
      </c>
    </row>
    <row r="79" spans="1:28" ht="25.5" x14ac:dyDescent="0.25">
      <c r="A79" s="7">
        <v>78</v>
      </c>
      <c r="B79" s="7" t="s">
        <v>15</v>
      </c>
      <c r="C79" s="7" t="s">
        <v>59</v>
      </c>
      <c r="D79" s="7" t="s">
        <v>175</v>
      </c>
      <c r="E79" s="7"/>
      <c r="F79" s="8"/>
      <c r="G79" s="7" t="s">
        <v>175</v>
      </c>
      <c r="H79" s="9">
        <v>34.309612999999999</v>
      </c>
      <c r="I79" s="9">
        <v>8.4114780000000007</v>
      </c>
      <c r="J79" s="7" t="s">
        <v>61</v>
      </c>
      <c r="K79" s="7" t="s">
        <v>37</v>
      </c>
      <c r="L79" s="7"/>
      <c r="M79" s="10">
        <v>8.17</v>
      </c>
      <c r="N79" s="7" t="s">
        <v>70</v>
      </c>
      <c r="O79" s="7"/>
      <c r="P79" s="8" t="s">
        <v>39</v>
      </c>
      <c r="Q79">
        <v>5.75</v>
      </c>
      <c r="R79">
        <v>28.9</v>
      </c>
      <c r="S79" t="s">
        <v>58</v>
      </c>
      <c r="T79">
        <v>9</v>
      </c>
      <c r="U79">
        <f t="shared" si="5"/>
        <v>51.75</v>
      </c>
      <c r="V79">
        <v>0.81</v>
      </c>
      <c r="W79">
        <v>160</v>
      </c>
      <c r="X79">
        <v>0.35</v>
      </c>
      <c r="Y79">
        <f t="shared" si="6"/>
        <v>56</v>
      </c>
      <c r="Z79">
        <f t="shared" si="7"/>
        <v>41.917500000000004</v>
      </c>
      <c r="AA79">
        <f t="shared" si="8"/>
        <v>0</v>
      </c>
      <c r="AB79">
        <f t="shared" si="9"/>
        <v>0</v>
      </c>
    </row>
    <row r="80" spans="1:28" ht="25.5" x14ac:dyDescent="0.25">
      <c r="A80" s="7">
        <v>79</v>
      </c>
      <c r="B80" s="7" t="s">
        <v>15</v>
      </c>
      <c r="C80" s="7" t="s">
        <v>63</v>
      </c>
      <c r="D80" s="7" t="s">
        <v>176</v>
      </c>
      <c r="E80" s="7"/>
      <c r="F80" s="8"/>
      <c r="G80" s="7" t="s">
        <v>176</v>
      </c>
      <c r="H80" s="9">
        <v>36.948084000000001</v>
      </c>
      <c r="I80" s="9">
        <v>8.7526840000000004</v>
      </c>
      <c r="J80" s="7" t="s">
        <v>65</v>
      </c>
      <c r="K80" s="7" t="s">
        <v>37</v>
      </c>
      <c r="L80" s="7"/>
      <c r="M80" s="10">
        <v>1.42</v>
      </c>
      <c r="N80" s="7" t="s">
        <v>74</v>
      </c>
      <c r="O80" s="7"/>
      <c r="P80" s="8" t="s">
        <v>39</v>
      </c>
      <c r="Q80">
        <v>4.33</v>
      </c>
      <c r="R80">
        <v>18.3</v>
      </c>
      <c r="S80" t="s">
        <v>53</v>
      </c>
      <c r="T80">
        <v>10</v>
      </c>
      <c r="U80">
        <f t="shared" si="5"/>
        <v>43.3</v>
      </c>
      <c r="V80">
        <v>1.03</v>
      </c>
      <c r="W80">
        <v>0</v>
      </c>
      <c r="X80">
        <v>0</v>
      </c>
      <c r="Y80">
        <f t="shared" si="6"/>
        <v>0</v>
      </c>
      <c r="Z80">
        <f t="shared" si="7"/>
        <v>44.598999999999997</v>
      </c>
      <c r="AA80">
        <f t="shared" si="8"/>
        <v>44.598999999999997</v>
      </c>
      <c r="AB80">
        <f t="shared" si="9"/>
        <v>63.330579999999991</v>
      </c>
    </row>
    <row r="81" spans="1:28" ht="25.5" x14ac:dyDescent="0.25">
      <c r="A81" s="7">
        <v>80</v>
      </c>
      <c r="B81" s="7" t="s">
        <v>15</v>
      </c>
      <c r="C81" s="7" t="s">
        <v>67</v>
      </c>
      <c r="D81" s="7" t="s">
        <v>177</v>
      </c>
      <c r="E81" s="7"/>
      <c r="F81" s="8"/>
      <c r="G81" s="7" t="s">
        <v>177</v>
      </c>
      <c r="H81" s="9">
        <v>35.637932999999997</v>
      </c>
      <c r="I81" s="9">
        <v>9.9092319999999994</v>
      </c>
      <c r="J81" s="7" t="s">
        <v>69</v>
      </c>
      <c r="K81" s="7" t="s">
        <v>37</v>
      </c>
      <c r="L81" s="7"/>
      <c r="M81" s="10">
        <v>2.76</v>
      </c>
      <c r="N81" s="7" t="s">
        <v>78</v>
      </c>
      <c r="O81" s="7"/>
      <c r="P81" s="8" t="s">
        <v>39</v>
      </c>
      <c r="Q81">
        <v>5.19</v>
      </c>
      <c r="R81">
        <v>14.2</v>
      </c>
      <c r="S81" t="s">
        <v>91</v>
      </c>
      <c r="T81">
        <v>14</v>
      </c>
      <c r="U81">
        <f t="shared" si="5"/>
        <v>72.660000000000011</v>
      </c>
      <c r="V81">
        <v>1.35</v>
      </c>
      <c r="W81">
        <v>0</v>
      </c>
      <c r="X81">
        <v>0</v>
      </c>
      <c r="Y81">
        <f t="shared" si="6"/>
        <v>0</v>
      </c>
      <c r="Z81">
        <f t="shared" si="7"/>
        <v>98.091000000000022</v>
      </c>
      <c r="AA81">
        <f t="shared" si="8"/>
        <v>98.091000000000022</v>
      </c>
      <c r="AB81">
        <f t="shared" si="9"/>
        <v>270.73116000000005</v>
      </c>
    </row>
    <row r="82" spans="1:28" ht="25.5" x14ac:dyDescent="0.25">
      <c r="A82" s="7">
        <v>81</v>
      </c>
      <c r="B82" s="7" t="s">
        <v>15</v>
      </c>
      <c r="C82" s="7" t="s">
        <v>71</v>
      </c>
      <c r="D82" s="7" t="s">
        <v>178</v>
      </c>
      <c r="E82" s="7"/>
      <c r="F82" s="8"/>
      <c r="G82" s="7" t="s">
        <v>178</v>
      </c>
      <c r="H82" s="9">
        <v>35.213037</v>
      </c>
      <c r="I82" s="9">
        <v>9.1048220000000004</v>
      </c>
      <c r="J82" s="7" t="s">
        <v>73</v>
      </c>
      <c r="K82" s="7" t="s">
        <v>37</v>
      </c>
      <c r="L82" s="7"/>
      <c r="M82" s="10">
        <v>23.46</v>
      </c>
      <c r="N82" s="7" t="s">
        <v>38</v>
      </c>
      <c r="O82" s="7"/>
      <c r="P82" s="8" t="s">
        <v>39</v>
      </c>
      <c r="Q82">
        <v>2.2799999999999998</v>
      </c>
      <c r="R82">
        <v>30.6</v>
      </c>
      <c r="S82" t="s">
        <v>58</v>
      </c>
      <c r="T82">
        <v>18</v>
      </c>
      <c r="U82">
        <f t="shared" si="5"/>
        <v>41.04</v>
      </c>
      <c r="V82">
        <v>0.9</v>
      </c>
      <c r="W82">
        <v>0</v>
      </c>
      <c r="X82">
        <v>0</v>
      </c>
      <c r="Y82">
        <f t="shared" si="6"/>
        <v>0</v>
      </c>
      <c r="Z82">
        <f t="shared" si="7"/>
        <v>36.936</v>
      </c>
      <c r="AA82">
        <f t="shared" si="8"/>
        <v>36.936</v>
      </c>
      <c r="AB82">
        <f t="shared" si="9"/>
        <v>866.51855999999998</v>
      </c>
    </row>
    <row r="83" spans="1:28" ht="25.5" x14ac:dyDescent="0.25">
      <c r="A83" s="7">
        <v>82</v>
      </c>
      <c r="B83" s="7" t="s">
        <v>15</v>
      </c>
      <c r="C83" s="7" t="s">
        <v>75</v>
      </c>
      <c r="D83" s="7" t="s">
        <v>179</v>
      </c>
      <c r="E83" s="7"/>
      <c r="F83" s="8"/>
      <c r="G83" s="7" t="s">
        <v>179</v>
      </c>
      <c r="H83" s="9">
        <v>33.443154</v>
      </c>
      <c r="I83" s="9">
        <v>9.0145680000000006</v>
      </c>
      <c r="J83" s="7" t="s">
        <v>77</v>
      </c>
      <c r="K83" s="7" t="s">
        <v>37</v>
      </c>
      <c r="L83" s="7"/>
      <c r="M83" s="10">
        <v>18.59</v>
      </c>
      <c r="N83" s="7" t="s">
        <v>44</v>
      </c>
      <c r="O83" s="7"/>
      <c r="P83" s="8" t="s">
        <v>39</v>
      </c>
      <c r="Q83">
        <v>2.1</v>
      </c>
      <c r="R83">
        <v>25</v>
      </c>
      <c r="S83" t="s">
        <v>58</v>
      </c>
      <c r="T83">
        <v>18</v>
      </c>
      <c r="U83">
        <f t="shared" si="5"/>
        <v>37.800000000000004</v>
      </c>
      <c r="V83">
        <v>0.9</v>
      </c>
      <c r="W83">
        <v>160</v>
      </c>
      <c r="X83">
        <v>0.35</v>
      </c>
      <c r="Y83">
        <f t="shared" si="6"/>
        <v>56</v>
      </c>
      <c r="Z83">
        <f t="shared" si="7"/>
        <v>34.020000000000003</v>
      </c>
      <c r="AA83">
        <f t="shared" si="8"/>
        <v>0</v>
      </c>
      <c r="AB83">
        <f t="shared" si="9"/>
        <v>0</v>
      </c>
    </row>
    <row r="84" spans="1:28" ht="25.5" x14ac:dyDescent="0.25">
      <c r="A84" s="7">
        <v>83</v>
      </c>
      <c r="B84" s="7" t="s">
        <v>15</v>
      </c>
      <c r="C84" s="7" t="s">
        <v>79</v>
      </c>
      <c r="D84" s="7" t="s">
        <v>180</v>
      </c>
      <c r="E84" s="7"/>
      <c r="F84" s="8"/>
      <c r="G84" s="7" t="s">
        <v>180</v>
      </c>
      <c r="H84" s="9">
        <v>35.926822999999999</v>
      </c>
      <c r="I84" s="9">
        <v>8.8371479999999991</v>
      </c>
      <c r="J84" s="7" t="s">
        <v>81</v>
      </c>
      <c r="K84" s="7" t="s">
        <v>37</v>
      </c>
      <c r="L84" s="7"/>
      <c r="M84" s="10">
        <v>12.91</v>
      </c>
      <c r="N84" s="7" t="s">
        <v>48</v>
      </c>
      <c r="O84" s="7"/>
      <c r="P84" s="8" t="s">
        <v>39</v>
      </c>
      <c r="Q84">
        <v>3.49</v>
      </c>
      <c r="R84">
        <v>24.8</v>
      </c>
      <c r="S84" t="s">
        <v>53</v>
      </c>
      <c r="T84">
        <v>16</v>
      </c>
      <c r="U84">
        <f t="shared" si="5"/>
        <v>55.84</v>
      </c>
      <c r="V84">
        <v>1.03</v>
      </c>
      <c r="W84">
        <v>160</v>
      </c>
      <c r="X84">
        <v>0.35</v>
      </c>
      <c r="Y84">
        <f t="shared" si="6"/>
        <v>56</v>
      </c>
      <c r="Z84">
        <f t="shared" si="7"/>
        <v>57.515200000000007</v>
      </c>
      <c r="AA84">
        <f t="shared" si="8"/>
        <v>1.5152000000000072</v>
      </c>
      <c r="AB84">
        <f t="shared" si="9"/>
        <v>19.561232000000093</v>
      </c>
    </row>
    <row r="85" spans="1:28" ht="25.5" x14ac:dyDescent="0.25">
      <c r="A85" s="7">
        <v>84</v>
      </c>
      <c r="B85" s="7" t="s">
        <v>15</v>
      </c>
      <c r="C85" s="7" t="s">
        <v>82</v>
      </c>
      <c r="D85" s="7" t="s">
        <v>181</v>
      </c>
      <c r="E85" s="7"/>
      <c r="F85" s="8"/>
      <c r="G85" s="7" t="s">
        <v>181</v>
      </c>
      <c r="H85" s="9">
        <v>35.213605000000001</v>
      </c>
      <c r="I85" s="9">
        <v>11.127428999999999</v>
      </c>
      <c r="J85" s="7" t="s">
        <v>84</v>
      </c>
      <c r="K85" s="7" t="s">
        <v>37</v>
      </c>
      <c r="L85" s="7"/>
      <c r="M85" s="10">
        <v>1.26</v>
      </c>
      <c r="N85" s="7" t="s">
        <v>52</v>
      </c>
      <c r="O85" s="7"/>
      <c r="P85" s="8" t="s">
        <v>39</v>
      </c>
      <c r="Q85">
        <v>4.16</v>
      </c>
      <c r="R85">
        <v>10.199999999999999</v>
      </c>
      <c r="S85" t="s">
        <v>91</v>
      </c>
      <c r="T85">
        <v>12</v>
      </c>
      <c r="U85">
        <f t="shared" si="5"/>
        <v>49.92</v>
      </c>
      <c r="V85">
        <v>1.49</v>
      </c>
      <c r="W85">
        <v>80</v>
      </c>
      <c r="X85">
        <v>0.35</v>
      </c>
      <c r="Y85">
        <f t="shared" si="6"/>
        <v>28</v>
      </c>
      <c r="Z85">
        <f t="shared" si="7"/>
        <v>74.380800000000008</v>
      </c>
      <c r="AA85">
        <f t="shared" si="8"/>
        <v>46.380800000000008</v>
      </c>
      <c r="AB85">
        <f t="shared" si="9"/>
        <v>58.439808000000014</v>
      </c>
    </row>
    <row r="86" spans="1:28" ht="25.5" x14ac:dyDescent="0.25">
      <c r="A86" s="7">
        <v>85</v>
      </c>
      <c r="B86" s="7" t="s">
        <v>15</v>
      </c>
      <c r="C86" s="7" t="s">
        <v>85</v>
      </c>
      <c r="D86" s="7" t="s">
        <v>182</v>
      </c>
      <c r="E86" s="7"/>
      <c r="F86" s="8"/>
      <c r="G86" s="7" t="s">
        <v>182</v>
      </c>
      <c r="H86" s="9">
        <v>36.818821999999997</v>
      </c>
      <c r="I86" s="9">
        <v>9.8454820000000005</v>
      </c>
      <c r="J86" s="7" t="s">
        <v>87</v>
      </c>
      <c r="K86" s="7" t="s">
        <v>37</v>
      </c>
      <c r="L86" s="7"/>
      <c r="M86" s="10">
        <v>24.02</v>
      </c>
      <c r="N86" s="7" t="s">
        <v>57</v>
      </c>
      <c r="O86" s="7"/>
      <c r="P86" s="8" t="s">
        <v>39</v>
      </c>
      <c r="Q86">
        <v>3.86</v>
      </c>
      <c r="R86">
        <v>12.1</v>
      </c>
      <c r="S86" t="s">
        <v>91</v>
      </c>
      <c r="T86">
        <v>8</v>
      </c>
      <c r="U86">
        <f t="shared" si="5"/>
        <v>30.88</v>
      </c>
      <c r="V86">
        <v>1.6</v>
      </c>
      <c r="W86">
        <v>0</v>
      </c>
      <c r="X86">
        <v>0</v>
      </c>
      <c r="Y86">
        <f t="shared" si="6"/>
        <v>0</v>
      </c>
      <c r="Z86">
        <f t="shared" si="7"/>
        <v>49.408000000000001</v>
      </c>
      <c r="AA86">
        <f t="shared" si="8"/>
        <v>49.408000000000001</v>
      </c>
      <c r="AB86">
        <f t="shared" si="9"/>
        <v>1186.78016</v>
      </c>
    </row>
    <row r="87" spans="1:28" ht="25.5" x14ac:dyDescent="0.25">
      <c r="A87" s="7">
        <v>86</v>
      </c>
      <c r="B87" s="7" t="s">
        <v>15</v>
      </c>
      <c r="C87" s="7" t="s">
        <v>88</v>
      </c>
      <c r="D87" s="7" t="s">
        <v>183</v>
      </c>
      <c r="E87" s="7"/>
      <c r="F87" s="8"/>
      <c r="G87" s="7" t="s">
        <v>183</v>
      </c>
      <c r="H87" s="9">
        <v>33.791831000000002</v>
      </c>
      <c r="I87" s="9">
        <v>10.982400999999999</v>
      </c>
      <c r="J87" s="7" t="s">
        <v>90</v>
      </c>
      <c r="K87" s="7" t="s">
        <v>37</v>
      </c>
      <c r="L87" s="7"/>
      <c r="M87" s="10">
        <v>14.99</v>
      </c>
      <c r="N87" s="7" t="s">
        <v>62</v>
      </c>
      <c r="O87" s="7"/>
      <c r="P87" s="8" t="s">
        <v>39</v>
      </c>
      <c r="Q87">
        <v>5.37</v>
      </c>
      <c r="R87">
        <v>43.2</v>
      </c>
      <c r="S87" t="s">
        <v>40</v>
      </c>
      <c r="T87">
        <v>7</v>
      </c>
      <c r="U87">
        <f t="shared" si="5"/>
        <v>37.590000000000003</v>
      </c>
      <c r="V87">
        <v>0.66</v>
      </c>
      <c r="W87">
        <v>50</v>
      </c>
      <c r="X87">
        <v>0.35</v>
      </c>
      <c r="Y87">
        <f t="shared" si="6"/>
        <v>17.5</v>
      </c>
      <c r="Z87">
        <f t="shared" si="7"/>
        <v>24.809400000000004</v>
      </c>
      <c r="AA87">
        <f t="shared" si="8"/>
        <v>7.3094000000000037</v>
      </c>
      <c r="AB87">
        <f t="shared" si="9"/>
        <v>109.56790600000005</v>
      </c>
    </row>
    <row r="88" spans="1:28" ht="25.5" x14ac:dyDescent="0.25">
      <c r="A88" s="7">
        <v>87</v>
      </c>
      <c r="B88" s="7" t="s">
        <v>15</v>
      </c>
      <c r="C88" s="7" t="s">
        <v>92</v>
      </c>
      <c r="D88" s="7" t="s">
        <v>184</v>
      </c>
      <c r="E88" s="7"/>
      <c r="F88" s="8"/>
      <c r="G88" s="7" t="s">
        <v>184</v>
      </c>
      <c r="H88" s="9">
        <v>35.618088999999998</v>
      </c>
      <c r="I88" s="9">
        <v>10.743223</v>
      </c>
      <c r="J88" s="7" t="s">
        <v>94</v>
      </c>
      <c r="K88" s="7" t="s">
        <v>37</v>
      </c>
      <c r="L88" s="7"/>
      <c r="M88" s="10">
        <v>17.010000000000002</v>
      </c>
      <c r="N88" s="7" t="s">
        <v>66</v>
      </c>
      <c r="O88" s="7"/>
      <c r="P88" s="8" t="s">
        <v>39</v>
      </c>
      <c r="Q88">
        <v>3.34</v>
      </c>
      <c r="R88">
        <v>22.4</v>
      </c>
      <c r="S88" t="s">
        <v>53</v>
      </c>
      <c r="T88">
        <v>10</v>
      </c>
      <c r="U88">
        <f t="shared" si="5"/>
        <v>33.4</v>
      </c>
      <c r="V88">
        <v>0.92</v>
      </c>
      <c r="W88">
        <v>50</v>
      </c>
      <c r="X88">
        <v>0.35</v>
      </c>
      <c r="Y88">
        <f t="shared" si="6"/>
        <v>17.5</v>
      </c>
      <c r="Z88">
        <f t="shared" si="7"/>
        <v>30.728000000000002</v>
      </c>
      <c r="AA88">
        <f t="shared" si="8"/>
        <v>13.228000000000002</v>
      </c>
      <c r="AB88">
        <f t="shared" si="9"/>
        <v>225.00828000000004</v>
      </c>
    </row>
    <row r="89" spans="1:28" ht="25.5" x14ac:dyDescent="0.25">
      <c r="A89" s="7">
        <v>88</v>
      </c>
      <c r="B89" s="7" t="s">
        <v>15</v>
      </c>
      <c r="C89" s="7" t="s">
        <v>95</v>
      </c>
      <c r="D89" s="7" t="s">
        <v>185</v>
      </c>
      <c r="E89" s="7"/>
      <c r="F89" s="8"/>
      <c r="G89" s="7" t="s">
        <v>185</v>
      </c>
      <c r="H89" s="9">
        <v>36.582613000000002</v>
      </c>
      <c r="I89" s="9">
        <v>10.868589999999999</v>
      </c>
      <c r="J89" s="7" t="s">
        <v>97</v>
      </c>
      <c r="K89" s="7" t="s">
        <v>37</v>
      </c>
      <c r="L89" s="7"/>
      <c r="M89" s="10">
        <v>1.73</v>
      </c>
      <c r="N89" s="7" t="s">
        <v>70</v>
      </c>
      <c r="O89" s="7"/>
      <c r="P89" s="8" t="s">
        <v>39</v>
      </c>
      <c r="Q89">
        <v>6.59</v>
      </c>
      <c r="R89">
        <v>20.2</v>
      </c>
      <c r="S89" t="s">
        <v>53</v>
      </c>
      <c r="T89">
        <v>9</v>
      </c>
      <c r="U89">
        <f t="shared" si="5"/>
        <v>59.31</v>
      </c>
      <c r="V89">
        <v>1.03</v>
      </c>
      <c r="W89">
        <v>0</v>
      </c>
      <c r="X89">
        <v>0</v>
      </c>
      <c r="Y89">
        <f t="shared" si="6"/>
        <v>0</v>
      </c>
      <c r="Z89">
        <f t="shared" si="7"/>
        <v>61.089300000000001</v>
      </c>
      <c r="AA89">
        <f t="shared" si="8"/>
        <v>61.089300000000001</v>
      </c>
      <c r="AB89">
        <f t="shared" si="9"/>
        <v>105.684489</v>
      </c>
    </row>
    <row r="90" spans="1:28" ht="25.5" x14ac:dyDescent="0.25">
      <c r="A90" s="7">
        <v>89</v>
      </c>
      <c r="B90" s="7" t="s">
        <v>15</v>
      </c>
      <c r="C90" s="7" t="s">
        <v>98</v>
      </c>
      <c r="D90" s="7" t="s">
        <v>186</v>
      </c>
      <c r="E90" s="7"/>
      <c r="F90" s="8"/>
      <c r="G90" s="7" t="s">
        <v>186</v>
      </c>
      <c r="H90" s="9">
        <v>34.742474000000001</v>
      </c>
      <c r="I90" s="9">
        <v>10.508264</v>
      </c>
      <c r="J90" s="7" t="s">
        <v>100</v>
      </c>
      <c r="K90" s="7" t="s">
        <v>37</v>
      </c>
      <c r="L90" s="7"/>
      <c r="M90" s="10">
        <v>5.3</v>
      </c>
      <c r="N90" s="7" t="s">
        <v>74</v>
      </c>
      <c r="O90" s="7"/>
      <c r="P90" s="8" t="s">
        <v>39</v>
      </c>
      <c r="Q90">
        <v>5.27</v>
      </c>
      <c r="R90">
        <v>44.6</v>
      </c>
      <c r="S90" t="s">
        <v>40</v>
      </c>
      <c r="T90">
        <v>10</v>
      </c>
      <c r="U90">
        <f t="shared" si="5"/>
        <v>52.699999999999996</v>
      </c>
      <c r="V90">
        <v>0.54</v>
      </c>
      <c r="W90">
        <v>80</v>
      </c>
      <c r="X90">
        <v>0.35</v>
      </c>
      <c r="Y90">
        <f t="shared" si="6"/>
        <v>28</v>
      </c>
      <c r="Z90">
        <f t="shared" si="7"/>
        <v>28.457999999999998</v>
      </c>
      <c r="AA90">
        <f t="shared" si="8"/>
        <v>0.45799999999999841</v>
      </c>
      <c r="AB90">
        <f t="shared" si="9"/>
        <v>2.4273999999999916</v>
      </c>
    </row>
    <row r="91" spans="1:28" ht="25.5" x14ac:dyDescent="0.25">
      <c r="A91" s="7">
        <v>90</v>
      </c>
      <c r="B91" s="7" t="s">
        <v>15</v>
      </c>
      <c r="C91" s="7" t="s">
        <v>101</v>
      </c>
      <c r="D91" s="7" t="s">
        <v>187</v>
      </c>
      <c r="E91" s="7"/>
      <c r="F91" s="8"/>
      <c r="G91" s="7" t="s">
        <v>187</v>
      </c>
      <c r="H91" s="9">
        <v>34.916339999999998</v>
      </c>
      <c r="I91" s="9">
        <v>9.7774090000000005</v>
      </c>
      <c r="J91" s="7" t="s">
        <v>103</v>
      </c>
      <c r="K91" s="7" t="s">
        <v>37</v>
      </c>
      <c r="L91" s="7"/>
      <c r="M91" s="10">
        <v>11.48</v>
      </c>
      <c r="N91" s="7" t="s">
        <v>78</v>
      </c>
      <c r="O91" s="7"/>
      <c r="P91" s="8" t="s">
        <v>39</v>
      </c>
      <c r="Q91">
        <v>4.58</v>
      </c>
      <c r="R91">
        <v>34.9</v>
      </c>
      <c r="S91" t="s">
        <v>58</v>
      </c>
      <c r="T91">
        <v>14</v>
      </c>
      <c r="U91">
        <f t="shared" si="5"/>
        <v>64.12</v>
      </c>
      <c r="V91">
        <v>0.9</v>
      </c>
      <c r="W91">
        <v>120</v>
      </c>
      <c r="X91">
        <v>0.35</v>
      </c>
      <c r="Y91">
        <f t="shared" si="6"/>
        <v>42</v>
      </c>
      <c r="Z91">
        <f t="shared" si="7"/>
        <v>57.708000000000006</v>
      </c>
      <c r="AA91">
        <f t="shared" si="8"/>
        <v>15.708000000000006</v>
      </c>
      <c r="AB91">
        <f t="shared" si="9"/>
        <v>180.32784000000007</v>
      </c>
    </row>
    <row r="92" spans="1:28" ht="25.5" x14ac:dyDescent="0.25">
      <c r="A92" s="7">
        <v>91</v>
      </c>
      <c r="B92" s="7" t="s">
        <v>15</v>
      </c>
      <c r="C92" s="7" t="s">
        <v>104</v>
      </c>
      <c r="D92" s="7" t="s">
        <v>188</v>
      </c>
      <c r="E92" s="7"/>
      <c r="F92" s="8"/>
      <c r="G92" s="7" t="s">
        <v>188</v>
      </c>
      <c r="H92" s="9">
        <v>35.862554000000003</v>
      </c>
      <c r="I92" s="9">
        <v>9.2153720000000003</v>
      </c>
      <c r="J92" s="7" t="s">
        <v>106</v>
      </c>
      <c r="K92" s="7" t="s">
        <v>37</v>
      </c>
      <c r="L92" s="7"/>
      <c r="M92" s="10">
        <v>16.05</v>
      </c>
      <c r="N92" s="7" t="s">
        <v>38</v>
      </c>
      <c r="O92" s="7"/>
      <c r="P92" s="8" t="s">
        <v>39</v>
      </c>
      <c r="Q92">
        <v>3.95</v>
      </c>
      <c r="R92">
        <v>18.600000000000001</v>
      </c>
      <c r="S92" t="s">
        <v>53</v>
      </c>
      <c r="T92">
        <v>18</v>
      </c>
      <c r="U92">
        <f t="shared" si="5"/>
        <v>71.100000000000009</v>
      </c>
      <c r="V92">
        <v>1.1499999999999999</v>
      </c>
      <c r="W92">
        <v>50</v>
      </c>
      <c r="X92">
        <v>0.35</v>
      </c>
      <c r="Y92">
        <f t="shared" si="6"/>
        <v>17.5</v>
      </c>
      <c r="Z92">
        <f t="shared" si="7"/>
        <v>81.765000000000001</v>
      </c>
      <c r="AA92">
        <f t="shared" si="8"/>
        <v>64.265000000000001</v>
      </c>
      <c r="AB92">
        <f t="shared" si="9"/>
        <v>1031.45325</v>
      </c>
    </row>
    <row r="93" spans="1:28" ht="25.5" x14ac:dyDescent="0.25">
      <c r="A93" s="7">
        <v>92</v>
      </c>
      <c r="B93" s="7" t="s">
        <v>15</v>
      </c>
      <c r="C93" s="7" t="s">
        <v>107</v>
      </c>
      <c r="D93" s="7" t="s">
        <v>189</v>
      </c>
      <c r="E93" s="7"/>
      <c r="F93" s="8"/>
      <c r="G93" s="7" t="s">
        <v>189</v>
      </c>
      <c r="H93" s="9">
        <v>36.137303000000003</v>
      </c>
      <c r="I93" s="9">
        <v>10.398849999999999</v>
      </c>
      <c r="J93" s="7" t="s">
        <v>109</v>
      </c>
      <c r="K93" s="7" t="s">
        <v>37</v>
      </c>
      <c r="L93" s="7"/>
      <c r="M93" s="10">
        <v>23.6</v>
      </c>
      <c r="N93" s="7" t="s">
        <v>44</v>
      </c>
      <c r="O93" s="7"/>
      <c r="P93" s="8" t="s">
        <v>39</v>
      </c>
      <c r="Q93">
        <v>4.42</v>
      </c>
      <c r="R93">
        <v>15.9</v>
      </c>
      <c r="S93" t="s">
        <v>53</v>
      </c>
      <c r="T93">
        <v>18</v>
      </c>
      <c r="U93">
        <f t="shared" si="5"/>
        <v>79.56</v>
      </c>
      <c r="V93">
        <v>1.1499999999999999</v>
      </c>
      <c r="W93">
        <v>80</v>
      </c>
      <c r="X93">
        <v>0.35</v>
      </c>
      <c r="Y93">
        <f t="shared" si="6"/>
        <v>28</v>
      </c>
      <c r="Z93">
        <f t="shared" si="7"/>
        <v>91.494</v>
      </c>
      <c r="AA93">
        <f t="shared" si="8"/>
        <v>63.494</v>
      </c>
      <c r="AB93">
        <f t="shared" si="9"/>
        <v>1498.4584</v>
      </c>
    </row>
    <row r="94" spans="1:28" ht="25.5" x14ac:dyDescent="0.25">
      <c r="A94" s="7">
        <v>93</v>
      </c>
      <c r="B94" s="7" t="s">
        <v>15</v>
      </c>
      <c r="C94" s="7" t="s">
        <v>110</v>
      </c>
      <c r="D94" s="7" t="s">
        <v>190</v>
      </c>
      <c r="E94" s="7"/>
      <c r="F94" s="8"/>
      <c r="G94" s="7" t="s">
        <v>190</v>
      </c>
      <c r="H94" s="9">
        <v>33.181865000000002</v>
      </c>
      <c r="I94" s="9">
        <v>10.257607</v>
      </c>
      <c r="J94" s="7" t="s">
        <v>112</v>
      </c>
      <c r="K94" s="7" t="s">
        <v>37</v>
      </c>
      <c r="L94" s="7"/>
      <c r="M94" s="10">
        <v>9.58</v>
      </c>
      <c r="N94" s="7" t="s">
        <v>48</v>
      </c>
      <c r="O94" s="7"/>
      <c r="P94" s="8" t="s">
        <v>39</v>
      </c>
      <c r="Q94">
        <v>7.92</v>
      </c>
      <c r="R94">
        <v>14.3</v>
      </c>
      <c r="S94" t="s">
        <v>91</v>
      </c>
      <c r="T94">
        <v>16</v>
      </c>
      <c r="U94">
        <f t="shared" si="5"/>
        <v>126.72</v>
      </c>
      <c r="V94">
        <v>1.22</v>
      </c>
      <c r="W94">
        <v>80</v>
      </c>
      <c r="X94">
        <v>0.35</v>
      </c>
      <c r="Y94">
        <f t="shared" si="6"/>
        <v>28</v>
      </c>
      <c r="Z94">
        <f t="shared" si="7"/>
        <v>154.5984</v>
      </c>
      <c r="AA94">
        <f t="shared" si="8"/>
        <v>126.5984</v>
      </c>
      <c r="AB94">
        <f t="shared" si="9"/>
        <v>1212.812672</v>
      </c>
    </row>
    <row r="95" spans="1:28" ht="25.5" x14ac:dyDescent="0.25">
      <c r="A95" s="7">
        <v>94</v>
      </c>
      <c r="B95" s="7" t="s">
        <v>15</v>
      </c>
      <c r="C95" s="7" t="s">
        <v>113</v>
      </c>
      <c r="D95" s="7" t="s">
        <v>191</v>
      </c>
      <c r="E95" s="7"/>
      <c r="F95" s="8"/>
      <c r="G95" s="7" t="s">
        <v>191</v>
      </c>
      <c r="H95" s="9">
        <v>33.865994999999998</v>
      </c>
      <c r="I95" s="9">
        <v>7.8691069999999996</v>
      </c>
      <c r="J95" s="7" t="s">
        <v>115</v>
      </c>
      <c r="K95" s="7" t="s">
        <v>37</v>
      </c>
      <c r="L95" s="7"/>
      <c r="M95" s="10">
        <v>10.42</v>
      </c>
      <c r="N95" s="7" t="s">
        <v>52</v>
      </c>
      <c r="O95" s="7"/>
      <c r="P95" s="8" t="s">
        <v>39</v>
      </c>
      <c r="Q95">
        <v>4.03</v>
      </c>
      <c r="R95">
        <v>29.2</v>
      </c>
      <c r="S95" t="s">
        <v>58</v>
      </c>
      <c r="T95">
        <v>12</v>
      </c>
      <c r="U95">
        <f t="shared" si="5"/>
        <v>48.36</v>
      </c>
      <c r="V95">
        <v>0.99</v>
      </c>
      <c r="W95">
        <v>0</v>
      </c>
      <c r="X95">
        <v>0</v>
      </c>
      <c r="Y95">
        <f t="shared" si="6"/>
        <v>0</v>
      </c>
      <c r="Z95">
        <f t="shared" si="7"/>
        <v>47.876399999999997</v>
      </c>
      <c r="AA95">
        <f t="shared" si="8"/>
        <v>47.876399999999997</v>
      </c>
      <c r="AB95">
        <f t="shared" si="9"/>
        <v>498.87208799999996</v>
      </c>
    </row>
    <row r="96" spans="1:28" ht="25.5" x14ac:dyDescent="0.25">
      <c r="A96" s="7">
        <v>95</v>
      </c>
      <c r="B96" s="7" t="s">
        <v>15</v>
      </c>
      <c r="C96" s="7" t="s">
        <v>116</v>
      </c>
      <c r="D96" s="7" t="s">
        <v>192</v>
      </c>
      <c r="E96" s="7"/>
      <c r="F96" s="8"/>
      <c r="G96" s="7" t="s">
        <v>192</v>
      </c>
      <c r="H96" s="9">
        <v>36.834296999999999</v>
      </c>
      <c r="I96" s="9">
        <v>10.337097</v>
      </c>
      <c r="J96" s="7" t="s">
        <v>118</v>
      </c>
      <c r="K96" s="7" t="s">
        <v>37</v>
      </c>
      <c r="L96" s="7"/>
      <c r="M96" s="10">
        <v>21.8</v>
      </c>
      <c r="N96" s="7" t="s">
        <v>57</v>
      </c>
      <c r="O96" s="7"/>
      <c r="P96" s="8" t="s">
        <v>39</v>
      </c>
      <c r="Q96">
        <v>5.98</v>
      </c>
      <c r="R96">
        <v>13.6</v>
      </c>
      <c r="S96" t="s">
        <v>91</v>
      </c>
      <c r="T96">
        <v>8</v>
      </c>
      <c r="U96">
        <f t="shared" si="5"/>
        <v>47.84</v>
      </c>
      <c r="V96">
        <v>1.6</v>
      </c>
      <c r="W96">
        <v>0</v>
      </c>
      <c r="X96">
        <v>0</v>
      </c>
      <c r="Y96">
        <f t="shared" si="6"/>
        <v>0</v>
      </c>
      <c r="Z96">
        <f t="shared" si="7"/>
        <v>76.544000000000011</v>
      </c>
      <c r="AA96">
        <f t="shared" si="8"/>
        <v>76.544000000000011</v>
      </c>
      <c r="AB96">
        <f t="shared" si="9"/>
        <v>1668.6592000000003</v>
      </c>
    </row>
    <row r="97" spans="1:28" ht="25.5" x14ac:dyDescent="0.25">
      <c r="A97" s="7">
        <v>96</v>
      </c>
      <c r="B97" s="7" t="s">
        <v>15</v>
      </c>
      <c r="C97" s="7" t="s">
        <v>119</v>
      </c>
      <c r="D97" s="7" t="s">
        <v>193</v>
      </c>
      <c r="E97" s="7"/>
      <c r="F97" s="8"/>
      <c r="G97" s="7" t="s">
        <v>193</v>
      </c>
      <c r="H97" s="9">
        <v>36.384849000000003</v>
      </c>
      <c r="I97" s="9">
        <v>9.6341950000000001</v>
      </c>
      <c r="J97" s="7" t="s">
        <v>121</v>
      </c>
      <c r="K97" s="7" t="s">
        <v>37</v>
      </c>
      <c r="L97" s="7"/>
      <c r="M97" s="10">
        <v>4.95</v>
      </c>
      <c r="N97" s="7" t="s">
        <v>62</v>
      </c>
      <c r="O97" s="7"/>
      <c r="P97" s="8" t="s">
        <v>39</v>
      </c>
      <c r="Q97">
        <v>2.67</v>
      </c>
      <c r="R97">
        <v>34.799999999999997</v>
      </c>
      <c r="S97" t="s">
        <v>58</v>
      </c>
      <c r="T97">
        <v>7</v>
      </c>
      <c r="U97">
        <f t="shared" si="5"/>
        <v>18.689999999999998</v>
      </c>
      <c r="V97">
        <v>0.99</v>
      </c>
      <c r="W97">
        <v>120</v>
      </c>
      <c r="X97">
        <v>0.35</v>
      </c>
      <c r="Y97">
        <f t="shared" si="6"/>
        <v>42</v>
      </c>
      <c r="Z97">
        <f t="shared" si="7"/>
        <v>18.503099999999996</v>
      </c>
      <c r="AA97">
        <f t="shared" si="8"/>
        <v>0</v>
      </c>
      <c r="AB97">
        <f t="shared" si="9"/>
        <v>0</v>
      </c>
    </row>
    <row r="98" spans="1:28" ht="25.5" x14ac:dyDescent="0.25">
      <c r="A98" s="7">
        <v>97</v>
      </c>
      <c r="B98" s="7" t="s">
        <v>15</v>
      </c>
      <c r="C98" s="7" t="s">
        <v>34</v>
      </c>
      <c r="D98" s="7" t="s">
        <v>194</v>
      </c>
      <c r="E98" s="7"/>
      <c r="F98" s="8"/>
      <c r="G98" s="7" t="s">
        <v>194</v>
      </c>
      <c r="H98" s="9">
        <v>36.890295999999999</v>
      </c>
      <c r="I98" s="9">
        <v>10.233517000000001</v>
      </c>
      <c r="J98" s="7" t="s">
        <v>36</v>
      </c>
      <c r="K98" s="7" t="s">
        <v>37</v>
      </c>
      <c r="L98" s="7"/>
      <c r="M98" s="10">
        <v>14.32</v>
      </c>
      <c r="N98" s="7" t="s">
        <v>66</v>
      </c>
      <c r="O98" s="7"/>
      <c r="P98" s="8" t="s">
        <v>39</v>
      </c>
      <c r="Q98">
        <v>6.97</v>
      </c>
      <c r="R98">
        <v>23.5</v>
      </c>
      <c r="S98" t="s">
        <v>53</v>
      </c>
      <c r="T98">
        <v>10</v>
      </c>
      <c r="U98">
        <f t="shared" si="5"/>
        <v>69.7</v>
      </c>
      <c r="V98">
        <v>0.92</v>
      </c>
      <c r="W98">
        <v>160</v>
      </c>
      <c r="X98">
        <v>0.35</v>
      </c>
      <c r="Y98">
        <f t="shared" si="6"/>
        <v>56</v>
      </c>
      <c r="Z98">
        <f t="shared" si="7"/>
        <v>64.124000000000009</v>
      </c>
      <c r="AA98">
        <f t="shared" si="8"/>
        <v>8.1240000000000094</v>
      </c>
      <c r="AB98">
        <f t="shared" si="9"/>
        <v>116.33568000000014</v>
      </c>
    </row>
    <row r="99" spans="1:28" ht="25.5" x14ac:dyDescent="0.25">
      <c r="A99" s="7">
        <v>98</v>
      </c>
      <c r="B99" s="7" t="s">
        <v>15</v>
      </c>
      <c r="C99" s="7" t="s">
        <v>41</v>
      </c>
      <c r="D99" s="7" t="s">
        <v>195</v>
      </c>
      <c r="E99" s="7"/>
      <c r="F99" s="8"/>
      <c r="G99" s="7" t="s">
        <v>195</v>
      </c>
      <c r="H99" s="9">
        <v>36.674430999999998</v>
      </c>
      <c r="I99" s="9">
        <v>9.6095109999999995</v>
      </c>
      <c r="J99" s="7" t="s">
        <v>43</v>
      </c>
      <c r="K99" s="7" t="s">
        <v>37</v>
      </c>
      <c r="L99" s="7"/>
      <c r="M99" s="10">
        <v>24.26</v>
      </c>
      <c r="N99" s="7" t="s">
        <v>70</v>
      </c>
      <c r="O99" s="7"/>
      <c r="P99" s="8" t="s">
        <v>39</v>
      </c>
      <c r="Q99">
        <v>5.98</v>
      </c>
      <c r="R99">
        <v>37</v>
      </c>
      <c r="S99" t="s">
        <v>40</v>
      </c>
      <c r="T99">
        <v>9</v>
      </c>
      <c r="U99">
        <f t="shared" si="5"/>
        <v>53.820000000000007</v>
      </c>
      <c r="V99">
        <v>0.54</v>
      </c>
      <c r="W99">
        <v>120</v>
      </c>
      <c r="X99">
        <v>0.35</v>
      </c>
      <c r="Y99">
        <f t="shared" si="6"/>
        <v>42</v>
      </c>
      <c r="Z99">
        <f t="shared" si="7"/>
        <v>29.062800000000006</v>
      </c>
      <c r="AA99">
        <f t="shared" si="8"/>
        <v>0</v>
      </c>
      <c r="AB99">
        <f t="shared" si="9"/>
        <v>0</v>
      </c>
    </row>
    <row r="100" spans="1:28" ht="25.5" x14ac:dyDescent="0.25">
      <c r="A100" s="7">
        <v>99</v>
      </c>
      <c r="B100" s="7" t="s">
        <v>15</v>
      </c>
      <c r="C100" s="7" t="s">
        <v>45</v>
      </c>
      <c r="D100" s="7" t="s">
        <v>196</v>
      </c>
      <c r="E100" s="7"/>
      <c r="F100" s="8"/>
      <c r="G100" s="7" t="s">
        <v>196</v>
      </c>
      <c r="H100" s="9">
        <v>36.625549999999997</v>
      </c>
      <c r="I100" s="9">
        <v>10.311245</v>
      </c>
      <c r="J100" s="7" t="s">
        <v>47</v>
      </c>
      <c r="K100" s="7" t="s">
        <v>37</v>
      </c>
      <c r="L100" s="7"/>
      <c r="M100" s="10">
        <v>11.1</v>
      </c>
      <c r="N100" s="7" t="s">
        <v>74</v>
      </c>
      <c r="O100" s="7"/>
      <c r="P100" s="8" t="s">
        <v>39</v>
      </c>
      <c r="Q100">
        <v>4.0199999999999996</v>
      </c>
      <c r="R100">
        <v>13.3</v>
      </c>
      <c r="S100" t="s">
        <v>91</v>
      </c>
      <c r="T100">
        <v>10</v>
      </c>
      <c r="U100">
        <f t="shared" si="5"/>
        <v>40.199999999999996</v>
      </c>
      <c r="V100">
        <v>1.22</v>
      </c>
      <c r="W100">
        <v>160</v>
      </c>
      <c r="X100">
        <v>0.35</v>
      </c>
      <c r="Y100">
        <f t="shared" si="6"/>
        <v>56</v>
      </c>
      <c r="Z100">
        <f t="shared" si="7"/>
        <v>49.043999999999997</v>
      </c>
      <c r="AA100">
        <f t="shared" si="8"/>
        <v>0</v>
      </c>
      <c r="AB100">
        <f t="shared" si="9"/>
        <v>0</v>
      </c>
    </row>
    <row r="101" spans="1:28" ht="25.5" x14ac:dyDescent="0.25">
      <c r="A101" s="7">
        <v>100</v>
      </c>
      <c r="B101" s="7" t="s">
        <v>15</v>
      </c>
      <c r="C101" s="7" t="s">
        <v>49</v>
      </c>
      <c r="D101" s="7" t="s">
        <v>197</v>
      </c>
      <c r="E101" s="7"/>
      <c r="F101" s="8"/>
      <c r="G101" s="7" t="s">
        <v>197</v>
      </c>
      <c r="H101" s="9">
        <v>37.137546999999998</v>
      </c>
      <c r="I101" s="9">
        <v>9.8030290000000004</v>
      </c>
      <c r="J101" s="7" t="s">
        <v>51</v>
      </c>
      <c r="K101" s="7" t="s">
        <v>37</v>
      </c>
      <c r="L101" s="7"/>
      <c r="M101" s="10">
        <v>4.26</v>
      </c>
      <c r="N101" s="7" t="s">
        <v>78</v>
      </c>
      <c r="O101" s="7"/>
      <c r="P101" s="8" t="s">
        <v>39</v>
      </c>
      <c r="Q101">
        <v>3.02</v>
      </c>
      <c r="R101">
        <v>33.6</v>
      </c>
      <c r="S101" t="s">
        <v>58</v>
      </c>
      <c r="T101">
        <v>14</v>
      </c>
      <c r="U101">
        <f t="shared" si="5"/>
        <v>42.28</v>
      </c>
      <c r="V101">
        <v>0.9</v>
      </c>
      <c r="W101">
        <v>0</v>
      </c>
      <c r="X101">
        <v>0</v>
      </c>
      <c r="Y101">
        <f t="shared" si="6"/>
        <v>0</v>
      </c>
      <c r="Z101">
        <f t="shared" si="7"/>
        <v>38.052</v>
      </c>
      <c r="AA101">
        <f t="shared" si="8"/>
        <v>38.052</v>
      </c>
      <c r="AB101">
        <f t="shared" si="9"/>
        <v>162.10151999999999</v>
      </c>
    </row>
    <row r="102" spans="1:28" ht="25.5" x14ac:dyDescent="0.25">
      <c r="A102" s="7">
        <v>101</v>
      </c>
      <c r="B102" s="7" t="s">
        <v>15</v>
      </c>
      <c r="C102" s="7" t="s">
        <v>54</v>
      </c>
      <c r="D102" s="7" t="s">
        <v>198</v>
      </c>
      <c r="E102" s="7"/>
      <c r="F102" s="8"/>
      <c r="G102" s="7" t="s">
        <v>198</v>
      </c>
      <c r="H102" s="9">
        <v>33.654657999999998</v>
      </c>
      <c r="I102" s="9">
        <v>10.272758</v>
      </c>
      <c r="J102" s="7" t="s">
        <v>56</v>
      </c>
      <c r="K102" s="7" t="s">
        <v>37</v>
      </c>
      <c r="L102" s="7"/>
      <c r="M102" s="10">
        <v>5.52</v>
      </c>
      <c r="N102" s="7" t="s">
        <v>38</v>
      </c>
      <c r="O102" s="7"/>
      <c r="P102" s="8" t="s">
        <v>39</v>
      </c>
      <c r="Q102">
        <v>4.79</v>
      </c>
      <c r="R102">
        <v>19.2</v>
      </c>
      <c r="S102" t="s">
        <v>53</v>
      </c>
      <c r="T102">
        <v>18</v>
      </c>
      <c r="U102">
        <f t="shared" si="5"/>
        <v>86.22</v>
      </c>
      <c r="V102">
        <v>1.1499999999999999</v>
      </c>
      <c r="W102">
        <v>0</v>
      </c>
      <c r="X102">
        <v>0</v>
      </c>
      <c r="Y102">
        <f t="shared" si="6"/>
        <v>0</v>
      </c>
      <c r="Z102">
        <f t="shared" si="7"/>
        <v>99.152999999999992</v>
      </c>
      <c r="AA102">
        <f t="shared" si="8"/>
        <v>99.152999999999992</v>
      </c>
      <c r="AB102">
        <f t="shared" si="9"/>
        <v>547.32455999999991</v>
      </c>
    </row>
    <row r="103" spans="1:28" ht="25.5" x14ac:dyDescent="0.25">
      <c r="A103" s="7">
        <v>102</v>
      </c>
      <c r="B103" s="7" t="s">
        <v>15</v>
      </c>
      <c r="C103" s="7" t="s">
        <v>59</v>
      </c>
      <c r="D103" s="7" t="s">
        <v>199</v>
      </c>
      <c r="E103" s="7"/>
      <c r="F103" s="8"/>
      <c r="G103" s="7" t="s">
        <v>199</v>
      </c>
      <c r="H103" s="9">
        <v>34.325693000000001</v>
      </c>
      <c r="I103" s="9">
        <v>8.3954830000000005</v>
      </c>
      <c r="J103" s="7" t="s">
        <v>61</v>
      </c>
      <c r="K103" s="7" t="s">
        <v>37</v>
      </c>
      <c r="L103" s="7"/>
      <c r="M103" s="10">
        <v>20.079999999999998</v>
      </c>
      <c r="N103" s="7" t="s">
        <v>44</v>
      </c>
      <c r="O103" s="7"/>
      <c r="P103" s="8" t="s">
        <v>39</v>
      </c>
      <c r="Q103">
        <v>6.15</v>
      </c>
      <c r="R103">
        <v>21.4</v>
      </c>
      <c r="S103" t="s">
        <v>53</v>
      </c>
      <c r="T103">
        <v>18</v>
      </c>
      <c r="U103">
        <f t="shared" si="5"/>
        <v>110.7</v>
      </c>
      <c r="V103">
        <v>1.1499999999999999</v>
      </c>
      <c r="W103">
        <v>160</v>
      </c>
      <c r="X103">
        <v>0.35</v>
      </c>
      <c r="Y103">
        <f t="shared" si="6"/>
        <v>56</v>
      </c>
      <c r="Z103">
        <f t="shared" si="7"/>
        <v>127.30499999999999</v>
      </c>
      <c r="AA103">
        <f t="shared" si="8"/>
        <v>71.304999999999993</v>
      </c>
      <c r="AB103">
        <f t="shared" si="9"/>
        <v>1431.8043999999998</v>
      </c>
    </row>
    <row r="104" spans="1:28" ht="25.5" x14ac:dyDescent="0.25">
      <c r="A104" s="7">
        <v>103</v>
      </c>
      <c r="B104" s="7" t="s">
        <v>15</v>
      </c>
      <c r="C104" s="7" t="s">
        <v>63</v>
      </c>
      <c r="D104" s="7" t="s">
        <v>200</v>
      </c>
      <c r="E104" s="7"/>
      <c r="F104" s="8"/>
      <c r="G104" s="7" t="s">
        <v>200</v>
      </c>
      <c r="H104" s="9">
        <v>36.942428</v>
      </c>
      <c r="I104" s="9">
        <v>8.7653590000000001</v>
      </c>
      <c r="J104" s="7" t="s">
        <v>65</v>
      </c>
      <c r="K104" s="7" t="s">
        <v>37</v>
      </c>
      <c r="L104" s="7"/>
      <c r="M104" s="10">
        <v>22.59</v>
      </c>
      <c r="N104" s="7" t="s">
        <v>48</v>
      </c>
      <c r="O104" s="7"/>
      <c r="P104" s="8" t="s">
        <v>39</v>
      </c>
      <c r="Q104">
        <v>3.22</v>
      </c>
      <c r="R104">
        <v>38.200000000000003</v>
      </c>
      <c r="S104" t="s">
        <v>40</v>
      </c>
      <c r="T104">
        <v>16</v>
      </c>
      <c r="U104">
        <f t="shared" si="5"/>
        <v>51.52</v>
      </c>
      <c r="V104">
        <v>0.54</v>
      </c>
      <c r="W104">
        <v>0</v>
      </c>
      <c r="X104">
        <v>0</v>
      </c>
      <c r="Y104">
        <f t="shared" si="6"/>
        <v>0</v>
      </c>
      <c r="Z104">
        <f t="shared" si="7"/>
        <v>27.820800000000002</v>
      </c>
      <c r="AA104">
        <f t="shared" si="8"/>
        <v>27.820800000000002</v>
      </c>
      <c r="AB104">
        <f t="shared" si="9"/>
        <v>628.47187200000008</v>
      </c>
    </row>
    <row r="105" spans="1:28" ht="25.5" x14ac:dyDescent="0.25">
      <c r="A105" s="7">
        <v>104</v>
      </c>
      <c r="B105" s="7" t="s">
        <v>15</v>
      </c>
      <c r="C105" s="7" t="s">
        <v>67</v>
      </c>
      <c r="D105" s="7" t="s">
        <v>201</v>
      </c>
      <c r="E105" s="7"/>
      <c r="F105" s="8"/>
      <c r="G105" s="7" t="s">
        <v>201</v>
      </c>
      <c r="H105" s="9">
        <v>35.592737</v>
      </c>
      <c r="I105" s="9">
        <v>9.9132099999999994</v>
      </c>
      <c r="J105" s="7" t="s">
        <v>69</v>
      </c>
      <c r="K105" s="7" t="s">
        <v>37</v>
      </c>
      <c r="L105" s="7"/>
      <c r="M105" s="10">
        <v>8.94</v>
      </c>
      <c r="N105" s="7" t="s">
        <v>52</v>
      </c>
      <c r="O105" s="7"/>
      <c r="P105" s="8" t="s">
        <v>39</v>
      </c>
      <c r="Q105">
        <v>3.37</v>
      </c>
      <c r="R105">
        <v>41.5</v>
      </c>
      <c r="S105" t="s">
        <v>40</v>
      </c>
      <c r="T105">
        <v>12</v>
      </c>
      <c r="U105">
        <f t="shared" si="5"/>
        <v>40.44</v>
      </c>
      <c r="V105">
        <v>0.66</v>
      </c>
      <c r="W105">
        <v>0</v>
      </c>
      <c r="X105">
        <v>0</v>
      </c>
      <c r="Y105">
        <f t="shared" si="6"/>
        <v>0</v>
      </c>
      <c r="Z105">
        <f t="shared" si="7"/>
        <v>26.6904</v>
      </c>
      <c r="AA105">
        <f t="shared" si="8"/>
        <v>26.6904</v>
      </c>
      <c r="AB105">
        <f t="shared" si="9"/>
        <v>238.61217599999998</v>
      </c>
    </row>
    <row r="106" spans="1:28" ht="25.5" x14ac:dyDescent="0.25">
      <c r="A106" s="7">
        <v>105</v>
      </c>
      <c r="B106" s="7" t="s">
        <v>15</v>
      </c>
      <c r="C106" s="7" t="s">
        <v>71</v>
      </c>
      <c r="D106" s="7" t="s">
        <v>202</v>
      </c>
      <c r="E106" s="7"/>
      <c r="F106" s="8"/>
      <c r="G106" s="7" t="s">
        <v>202</v>
      </c>
      <c r="H106" s="9">
        <v>35.220908999999999</v>
      </c>
      <c r="I106" s="9">
        <v>9.1007829999999998</v>
      </c>
      <c r="J106" s="7" t="s">
        <v>73</v>
      </c>
      <c r="K106" s="7" t="s">
        <v>37</v>
      </c>
      <c r="L106" s="7"/>
      <c r="M106" s="10">
        <v>0.87</v>
      </c>
      <c r="N106" s="7" t="s">
        <v>57</v>
      </c>
      <c r="O106" s="7"/>
      <c r="P106" s="8" t="s">
        <v>39</v>
      </c>
      <c r="Q106">
        <v>2.89</v>
      </c>
      <c r="R106">
        <v>35.1</v>
      </c>
      <c r="S106" t="s">
        <v>40</v>
      </c>
      <c r="T106">
        <v>8</v>
      </c>
      <c r="U106">
        <f t="shared" si="5"/>
        <v>23.12</v>
      </c>
      <c r="V106">
        <v>0.72</v>
      </c>
      <c r="W106">
        <v>50</v>
      </c>
      <c r="X106">
        <v>0.35</v>
      </c>
      <c r="Y106">
        <f t="shared" si="6"/>
        <v>17.5</v>
      </c>
      <c r="Z106">
        <f t="shared" si="7"/>
        <v>16.6464</v>
      </c>
      <c r="AA106">
        <f t="shared" si="8"/>
        <v>0</v>
      </c>
      <c r="AB106">
        <f t="shared" si="9"/>
        <v>0</v>
      </c>
    </row>
    <row r="107" spans="1:28" ht="25.5" x14ac:dyDescent="0.25">
      <c r="A107" s="7">
        <v>106</v>
      </c>
      <c r="B107" s="7" t="s">
        <v>15</v>
      </c>
      <c r="C107" s="7" t="s">
        <v>75</v>
      </c>
      <c r="D107" s="7" t="s">
        <v>203</v>
      </c>
      <c r="E107" s="7"/>
      <c r="F107" s="8"/>
      <c r="G107" s="7" t="s">
        <v>203</v>
      </c>
      <c r="H107" s="9">
        <v>33.482335999999997</v>
      </c>
      <c r="I107" s="9">
        <v>9.0224899999999995</v>
      </c>
      <c r="J107" s="7" t="s">
        <v>77</v>
      </c>
      <c r="K107" s="7" t="s">
        <v>37</v>
      </c>
      <c r="L107" s="7"/>
      <c r="M107" s="10">
        <v>14.47</v>
      </c>
      <c r="N107" s="7" t="s">
        <v>62</v>
      </c>
      <c r="O107" s="7"/>
      <c r="P107" s="8" t="s">
        <v>39</v>
      </c>
      <c r="Q107">
        <v>7.75</v>
      </c>
      <c r="R107">
        <v>34.200000000000003</v>
      </c>
      <c r="S107" t="s">
        <v>58</v>
      </c>
      <c r="T107">
        <v>7</v>
      </c>
      <c r="U107">
        <f t="shared" si="5"/>
        <v>54.25</v>
      </c>
      <c r="V107">
        <v>0.99</v>
      </c>
      <c r="W107">
        <v>160</v>
      </c>
      <c r="X107">
        <v>0.35</v>
      </c>
      <c r="Y107">
        <f t="shared" si="6"/>
        <v>56</v>
      </c>
      <c r="Z107">
        <f t="shared" si="7"/>
        <v>53.707499999999996</v>
      </c>
      <c r="AA107">
        <f t="shared" si="8"/>
        <v>0</v>
      </c>
      <c r="AB107">
        <f t="shared" si="9"/>
        <v>0</v>
      </c>
    </row>
    <row r="108" spans="1:28" ht="25.5" x14ac:dyDescent="0.25">
      <c r="A108" s="7">
        <v>107</v>
      </c>
      <c r="B108" s="7" t="s">
        <v>15</v>
      </c>
      <c r="C108" s="7" t="s">
        <v>79</v>
      </c>
      <c r="D108" s="7" t="s">
        <v>204</v>
      </c>
      <c r="E108" s="7"/>
      <c r="F108" s="8"/>
      <c r="G108" s="7" t="s">
        <v>204</v>
      </c>
      <c r="H108" s="9">
        <v>35.917217999999998</v>
      </c>
      <c r="I108" s="9">
        <v>8.8540849999999995</v>
      </c>
      <c r="J108" s="7" t="s">
        <v>81</v>
      </c>
      <c r="K108" s="7" t="s">
        <v>37</v>
      </c>
      <c r="L108" s="7"/>
      <c r="M108" s="10">
        <v>3.65</v>
      </c>
      <c r="N108" s="7" t="s">
        <v>66</v>
      </c>
      <c r="O108" s="7"/>
      <c r="P108" s="8" t="s">
        <v>39</v>
      </c>
      <c r="Q108">
        <v>3.76</v>
      </c>
      <c r="R108">
        <v>33.799999999999997</v>
      </c>
      <c r="S108" t="s">
        <v>58</v>
      </c>
      <c r="T108">
        <v>10</v>
      </c>
      <c r="U108">
        <f t="shared" si="5"/>
        <v>37.599999999999994</v>
      </c>
      <c r="V108">
        <v>0.72</v>
      </c>
      <c r="W108">
        <v>0</v>
      </c>
      <c r="X108">
        <v>0</v>
      </c>
      <c r="Y108">
        <f t="shared" si="6"/>
        <v>0</v>
      </c>
      <c r="Z108">
        <f t="shared" si="7"/>
        <v>27.071999999999996</v>
      </c>
      <c r="AA108">
        <f t="shared" si="8"/>
        <v>27.071999999999996</v>
      </c>
      <c r="AB108">
        <f t="shared" si="9"/>
        <v>98.812799999999982</v>
      </c>
    </row>
    <row r="109" spans="1:28" ht="25.5" x14ac:dyDescent="0.25">
      <c r="A109" s="7">
        <v>108</v>
      </c>
      <c r="B109" s="7" t="s">
        <v>15</v>
      </c>
      <c r="C109" s="7" t="s">
        <v>82</v>
      </c>
      <c r="D109" s="7" t="s">
        <v>205</v>
      </c>
      <c r="E109" s="7"/>
      <c r="F109" s="8"/>
      <c r="G109" s="7" t="s">
        <v>205</v>
      </c>
      <c r="H109" s="9">
        <v>35.231490000000001</v>
      </c>
      <c r="I109" s="9">
        <v>11.110391999999999</v>
      </c>
      <c r="J109" s="7" t="s">
        <v>84</v>
      </c>
      <c r="K109" s="7" t="s">
        <v>37</v>
      </c>
      <c r="L109" s="7"/>
      <c r="M109" s="10">
        <v>1.97</v>
      </c>
      <c r="N109" s="7" t="s">
        <v>70</v>
      </c>
      <c r="O109" s="7"/>
      <c r="P109" s="8" t="s">
        <v>39</v>
      </c>
      <c r="Q109">
        <v>7.41</v>
      </c>
      <c r="R109">
        <v>23</v>
      </c>
      <c r="S109" t="s">
        <v>53</v>
      </c>
      <c r="T109">
        <v>9</v>
      </c>
      <c r="U109">
        <f t="shared" si="5"/>
        <v>66.69</v>
      </c>
      <c r="V109">
        <v>1.03</v>
      </c>
      <c r="W109">
        <v>80</v>
      </c>
      <c r="X109">
        <v>0.35</v>
      </c>
      <c r="Y109">
        <f t="shared" si="6"/>
        <v>28</v>
      </c>
      <c r="Z109">
        <f t="shared" si="7"/>
        <v>68.690699999999993</v>
      </c>
      <c r="AA109">
        <f t="shared" si="8"/>
        <v>40.690699999999993</v>
      </c>
      <c r="AB109">
        <f t="shared" si="9"/>
        <v>80.160678999999988</v>
      </c>
    </row>
    <row r="110" spans="1:28" ht="25.5" x14ac:dyDescent="0.25">
      <c r="A110" s="7">
        <v>109</v>
      </c>
      <c r="B110" s="7" t="s">
        <v>15</v>
      </c>
      <c r="C110" s="7" t="s">
        <v>85</v>
      </c>
      <c r="D110" s="7" t="s">
        <v>206</v>
      </c>
      <c r="E110" s="7"/>
      <c r="F110" s="8"/>
      <c r="G110" s="7" t="s">
        <v>206</v>
      </c>
      <c r="H110" s="9">
        <v>36.834533999999998</v>
      </c>
      <c r="I110" s="9">
        <v>9.8549089999999993</v>
      </c>
      <c r="J110" s="7" t="s">
        <v>87</v>
      </c>
      <c r="K110" s="7" t="s">
        <v>37</v>
      </c>
      <c r="L110" s="7"/>
      <c r="M110" s="10">
        <v>16.059999999999999</v>
      </c>
      <c r="N110" s="7" t="s">
        <v>74</v>
      </c>
      <c r="O110" s="7"/>
      <c r="P110" s="8" t="s">
        <v>39</v>
      </c>
      <c r="Q110">
        <v>6.77</v>
      </c>
      <c r="R110">
        <v>32.1</v>
      </c>
      <c r="S110" t="s">
        <v>58</v>
      </c>
      <c r="T110">
        <v>10</v>
      </c>
      <c r="U110">
        <f t="shared" si="5"/>
        <v>67.699999999999989</v>
      </c>
      <c r="V110">
        <v>0.81</v>
      </c>
      <c r="W110">
        <v>0</v>
      </c>
      <c r="X110">
        <v>0</v>
      </c>
      <c r="Y110">
        <f t="shared" si="6"/>
        <v>0</v>
      </c>
      <c r="Z110">
        <f t="shared" si="7"/>
        <v>54.836999999999996</v>
      </c>
      <c r="AA110">
        <f t="shared" si="8"/>
        <v>54.836999999999996</v>
      </c>
      <c r="AB110">
        <f t="shared" si="9"/>
        <v>880.68221999999992</v>
      </c>
    </row>
    <row r="111" spans="1:28" ht="25.5" x14ac:dyDescent="0.25">
      <c r="A111" s="7">
        <v>110</v>
      </c>
      <c r="B111" s="7" t="s">
        <v>15</v>
      </c>
      <c r="C111" s="7" t="s">
        <v>88</v>
      </c>
      <c r="D111" s="7" t="s">
        <v>207</v>
      </c>
      <c r="E111" s="7"/>
      <c r="F111" s="8"/>
      <c r="G111" s="7" t="s">
        <v>207</v>
      </c>
      <c r="H111" s="9">
        <v>33.781374999999997</v>
      </c>
      <c r="I111" s="9">
        <v>10.982713</v>
      </c>
      <c r="J111" s="7" t="s">
        <v>90</v>
      </c>
      <c r="K111" s="7" t="s">
        <v>37</v>
      </c>
      <c r="L111" s="7"/>
      <c r="M111" s="10">
        <v>6.37</v>
      </c>
      <c r="N111" s="7" t="s">
        <v>78</v>
      </c>
      <c r="O111" s="7"/>
      <c r="P111" s="8" t="s">
        <v>39</v>
      </c>
      <c r="Q111">
        <v>5.15</v>
      </c>
      <c r="R111">
        <v>10.4</v>
      </c>
      <c r="S111" t="s">
        <v>91</v>
      </c>
      <c r="T111">
        <v>14</v>
      </c>
      <c r="U111">
        <f t="shared" si="5"/>
        <v>72.100000000000009</v>
      </c>
      <c r="V111">
        <v>1.35</v>
      </c>
      <c r="W111">
        <v>160</v>
      </c>
      <c r="X111">
        <v>0.35</v>
      </c>
      <c r="Y111">
        <f t="shared" si="6"/>
        <v>56</v>
      </c>
      <c r="Z111">
        <f t="shared" si="7"/>
        <v>97.335000000000022</v>
      </c>
      <c r="AA111">
        <f t="shared" si="8"/>
        <v>41.335000000000022</v>
      </c>
      <c r="AB111">
        <f t="shared" si="9"/>
        <v>263.30395000000016</v>
      </c>
    </row>
    <row r="112" spans="1:28" ht="25.5" x14ac:dyDescent="0.25">
      <c r="A112" s="7">
        <v>111</v>
      </c>
      <c r="B112" s="7" t="s">
        <v>15</v>
      </c>
      <c r="C112" s="7" t="s">
        <v>92</v>
      </c>
      <c r="D112" s="7" t="s">
        <v>208</v>
      </c>
      <c r="E112" s="7"/>
      <c r="F112" s="8"/>
      <c r="G112" s="7" t="s">
        <v>208</v>
      </c>
      <c r="H112" s="9">
        <v>35.600594000000001</v>
      </c>
      <c r="I112" s="9">
        <v>10.755773</v>
      </c>
      <c r="J112" s="7" t="s">
        <v>94</v>
      </c>
      <c r="K112" s="7" t="s">
        <v>37</v>
      </c>
      <c r="L112" s="7"/>
      <c r="M112" s="10">
        <v>11.96</v>
      </c>
      <c r="N112" s="7" t="s">
        <v>38</v>
      </c>
      <c r="O112" s="7"/>
      <c r="P112" s="8" t="s">
        <v>39</v>
      </c>
      <c r="Q112">
        <v>5.0999999999999996</v>
      </c>
      <c r="R112">
        <v>44.3</v>
      </c>
      <c r="S112" t="s">
        <v>40</v>
      </c>
      <c r="T112">
        <v>18</v>
      </c>
      <c r="U112">
        <f t="shared" si="5"/>
        <v>91.8</v>
      </c>
      <c r="V112">
        <v>0.6</v>
      </c>
      <c r="W112">
        <v>0</v>
      </c>
      <c r="X112">
        <v>0</v>
      </c>
      <c r="Y112">
        <f t="shared" si="6"/>
        <v>0</v>
      </c>
      <c r="Z112">
        <f t="shared" si="7"/>
        <v>55.08</v>
      </c>
      <c r="AA112">
        <f t="shared" si="8"/>
        <v>55.08</v>
      </c>
      <c r="AB112">
        <f t="shared" si="9"/>
        <v>658.7568</v>
      </c>
    </row>
    <row r="113" spans="1:28" ht="25.5" x14ac:dyDescent="0.25">
      <c r="A113" s="7">
        <v>112</v>
      </c>
      <c r="B113" s="7" t="s">
        <v>15</v>
      </c>
      <c r="C113" s="7" t="s">
        <v>95</v>
      </c>
      <c r="D113" s="7" t="s">
        <v>209</v>
      </c>
      <c r="E113" s="7"/>
      <c r="F113" s="8"/>
      <c r="G113" s="7" t="s">
        <v>209</v>
      </c>
      <c r="H113" s="9">
        <v>36.562353999999999</v>
      </c>
      <c r="I113" s="9">
        <v>10.852574000000001</v>
      </c>
      <c r="J113" s="7" t="s">
        <v>97</v>
      </c>
      <c r="K113" s="7" t="s">
        <v>37</v>
      </c>
      <c r="L113" s="7"/>
      <c r="M113" s="10">
        <v>24.14</v>
      </c>
      <c r="N113" s="7" t="s">
        <v>44</v>
      </c>
      <c r="O113" s="7"/>
      <c r="P113" s="8" t="s">
        <v>39</v>
      </c>
      <c r="Q113">
        <v>2.41</v>
      </c>
      <c r="R113">
        <v>31.1</v>
      </c>
      <c r="S113" t="s">
        <v>58</v>
      </c>
      <c r="T113">
        <v>18</v>
      </c>
      <c r="U113">
        <f t="shared" si="5"/>
        <v>43.38</v>
      </c>
      <c r="V113">
        <v>0.9</v>
      </c>
      <c r="W113">
        <v>0</v>
      </c>
      <c r="X113">
        <v>0</v>
      </c>
      <c r="Y113">
        <f t="shared" si="6"/>
        <v>0</v>
      </c>
      <c r="Z113">
        <f t="shared" si="7"/>
        <v>39.042000000000002</v>
      </c>
      <c r="AA113">
        <f t="shared" si="8"/>
        <v>39.042000000000002</v>
      </c>
      <c r="AB113">
        <f t="shared" si="9"/>
        <v>942.47388000000001</v>
      </c>
    </row>
    <row r="114" spans="1:28" ht="25.5" x14ac:dyDescent="0.25">
      <c r="A114" s="7">
        <v>113</v>
      </c>
      <c r="B114" s="7" t="s">
        <v>15</v>
      </c>
      <c r="C114" s="7" t="s">
        <v>98</v>
      </c>
      <c r="D114" s="7" t="s">
        <v>210</v>
      </c>
      <c r="E114" s="7"/>
      <c r="F114" s="8"/>
      <c r="G114" s="7" t="s">
        <v>210</v>
      </c>
      <c r="H114" s="9">
        <v>34.766730000000003</v>
      </c>
      <c r="I114" s="9">
        <v>10.491232</v>
      </c>
      <c r="J114" s="7" t="s">
        <v>100</v>
      </c>
      <c r="K114" s="7" t="s">
        <v>37</v>
      </c>
      <c r="L114" s="7"/>
      <c r="M114" s="10">
        <v>23.15</v>
      </c>
      <c r="N114" s="7" t="s">
        <v>48</v>
      </c>
      <c r="O114" s="7"/>
      <c r="P114" s="8" t="s">
        <v>39</v>
      </c>
      <c r="Q114">
        <v>2.66</v>
      </c>
      <c r="R114">
        <v>18.8</v>
      </c>
      <c r="S114" t="s">
        <v>53</v>
      </c>
      <c r="T114">
        <v>16</v>
      </c>
      <c r="U114">
        <f t="shared" si="5"/>
        <v>42.56</v>
      </c>
      <c r="V114">
        <v>1.03</v>
      </c>
      <c r="W114">
        <v>50</v>
      </c>
      <c r="X114">
        <v>0.35</v>
      </c>
      <c r="Y114">
        <f t="shared" si="6"/>
        <v>17.5</v>
      </c>
      <c r="Z114">
        <f t="shared" si="7"/>
        <v>43.836800000000004</v>
      </c>
      <c r="AA114">
        <f t="shared" si="8"/>
        <v>26.336800000000004</v>
      </c>
      <c r="AB114">
        <f t="shared" si="9"/>
        <v>609.69692000000009</v>
      </c>
    </row>
    <row r="115" spans="1:28" ht="25.5" x14ac:dyDescent="0.25">
      <c r="A115" s="7">
        <v>114</v>
      </c>
      <c r="B115" s="7" t="s">
        <v>15</v>
      </c>
      <c r="C115" s="7" t="s">
        <v>101</v>
      </c>
      <c r="D115" s="7" t="s">
        <v>211</v>
      </c>
      <c r="E115" s="7"/>
      <c r="F115" s="8"/>
      <c r="G115" s="7" t="s">
        <v>211</v>
      </c>
      <c r="H115" s="9">
        <v>34.897182000000001</v>
      </c>
      <c r="I115" s="9">
        <v>9.762219</v>
      </c>
      <c r="J115" s="7" t="s">
        <v>103</v>
      </c>
      <c r="K115" s="7" t="s">
        <v>37</v>
      </c>
      <c r="L115" s="7"/>
      <c r="M115" s="10">
        <v>23.9</v>
      </c>
      <c r="N115" s="7" t="s">
        <v>52</v>
      </c>
      <c r="O115" s="7"/>
      <c r="P115" s="8" t="s">
        <v>39</v>
      </c>
      <c r="Q115">
        <v>7.73</v>
      </c>
      <c r="R115">
        <v>20.5</v>
      </c>
      <c r="S115" t="s">
        <v>53</v>
      </c>
      <c r="T115">
        <v>12</v>
      </c>
      <c r="U115">
        <f t="shared" si="5"/>
        <v>92.76</v>
      </c>
      <c r="V115">
        <v>1.26</v>
      </c>
      <c r="W115">
        <v>0</v>
      </c>
      <c r="X115">
        <v>0</v>
      </c>
      <c r="Y115">
        <f t="shared" si="6"/>
        <v>0</v>
      </c>
      <c r="Z115">
        <f t="shared" si="7"/>
        <v>116.8776</v>
      </c>
      <c r="AA115">
        <f t="shared" si="8"/>
        <v>116.8776</v>
      </c>
      <c r="AB115">
        <f t="shared" si="9"/>
        <v>2793.37464</v>
      </c>
    </row>
    <row r="116" spans="1:28" ht="25.5" x14ac:dyDescent="0.25">
      <c r="A116" s="7">
        <v>115</v>
      </c>
      <c r="B116" s="7" t="s">
        <v>15</v>
      </c>
      <c r="C116" s="7" t="s">
        <v>104</v>
      </c>
      <c r="D116" s="7" t="s">
        <v>212</v>
      </c>
      <c r="E116" s="7"/>
      <c r="F116" s="8"/>
      <c r="G116" s="7" t="s">
        <v>212</v>
      </c>
      <c r="H116" s="9">
        <v>35.862290000000002</v>
      </c>
      <c r="I116" s="9">
        <v>9.1834190000000007</v>
      </c>
      <c r="J116" s="7" t="s">
        <v>106</v>
      </c>
      <c r="K116" s="7" t="s">
        <v>37</v>
      </c>
      <c r="L116" s="7"/>
      <c r="M116" s="10">
        <v>19.77</v>
      </c>
      <c r="N116" s="7" t="s">
        <v>57</v>
      </c>
      <c r="O116" s="7"/>
      <c r="P116" s="8" t="s">
        <v>39</v>
      </c>
      <c r="Q116">
        <v>7.84</v>
      </c>
      <c r="R116">
        <v>17.399999999999999</v>
      </c>
      <c r="S116" t="s">
        <v>53</v>
      </c>
      <c r="T116">
        <v>8</v>
      </c>
      <c r="U116">
        <f t="shared" si="5"/>
        <v>62.72</v>
      </c>
      <c r="V116">
        <v>1.38</v>
      </c>
      <c r="W116">
        <v>160</v>
      </c>
      <c r="X116">
        <v>0.35</v>
      </c>
      <c r="Y116">
        <f t="shared" si="6"/>
        <v>56</v>
      </c>
      <c r="Z116">
        <f t="shared" si="7"/>
        <v>86.553599999999989</v>
      </c>
      <c r="AA116">
        <f t="shared" si="8"/>
        <v>30.553599999999989</v>
      </c>
      <c r="AB116">
        <f t="shared" si="9"/>
        <v>604.04467199999976</v>
      </c>
    </row>
    <row r="117" spans="1:28" ht="25.5" x14ac:dyDescent="0.25">
      <c r="A117" s="7">
        <v>116</v>
      </c>
      <c r="B117" s="7" t="s">
        <v>15</v>
      </c>
      <c r="C117" s="7" t="s">
        <v>107</v>
      </c>
      <c r="D117" s="7" t="s">
        <v>213</v>
      </c>
      <c r="E117" s="7"/>
      <c r="F117" s="8"/>
      <c r="G117" s="7" t="s">
        <v>213</v>
      </c>
      <c r="H117" s="9">
        <v>36.125160000000001</v>
      </c>
      <c r="I117" s="9">
        <v>10.368974</v>
      </c>
      <c r="J117" s="7" t="s">
        <v>109</v>
      </c>
      <c r="K117" s="7" t="s">
        <v>37</v>
      </c>
      <c r="L117" s="7"/>
      <c r="M117" s="10">
        <v>12.38</v>
      </c>
      <c r="N117" s="7" t="s">
        <v>62</v>
      </c>
      <c r="O117" s="7"/>
      <c r="P117" s="8" t="s">
        <v>39</v>
      </c>
      <c r="Q117">
        <v>5.18</v>
      </c>
      <c r="R117">
        <v>10</v>
      </c>
      <c r="S117" t="s">
        <v>91</v>
      </c>
      <c r="T117">
        <v>7</v>
      </c>
      <c r="U117">
        <f t="shared" si="5"/>
        <v>36.26</v>
      </c>
      <c r="V117">
        <v>1.49</v>
      </c>
      <c r="W117">
        <v>0</v>
      </c>
      <c r="X117">
        <v>0</v>
      </c>
      <c r="Y117">
        <f t="shared" si="6"/>
        <v>0</v>
      </c>
      <c r="Z117">
        <f t="shared" si="7"/>
        <v>54.0274</v>
      </c>
      <c r="AA117">
        <f t="shared" si="8"/>
        <v>54.0274</v>
      </c>
      <c r="AB117">
        <f t="shared" si="9"/>
        <v>668.85921200000007</v>
      </c>
    </row>
    <row r="118" spans="1:28" ht="25.5" x14ac:dyDescent="0.25">
      <c r="A118" s="7">
        <v>117</v>
      </c>
      <c r="B118" s="7" t="s">
        <v>15</v>
      </c>
      <c r="C118" s="7" t="s">
        <v>110</v>
      </c>
      <c r="D118" s="7" t="s">
        <v>214</v>
      </c>
      <c r="E118" s="7"/>
      <c r="F118" s="8"/>
      <c r="G118" s="7" t="s">
        <v>214</v>
      </c>
      <c r="H118" s="9">
        <v>33.163725999999997</v>
      </c>
      <c r="I118" s="9">
        <v>10.244589</v>
      </c>
      <c r="J118" s="7" t="s">
        <v>112</v>
      </c>
      <c r="K118" s="7" t="s">
        <v>37</v>
      </c>
      <c r="L118" s="7"/>
      <c r="M118" s="10">
        <v>23.89</v>
      </c>
      <c r="N118" s="7" t="s">
        <v>66</v>
      </c>
      <c r="O118" s="7"/>
      <c r="P118" s="8" t="s">
        <v>39</v>
      </c>
      <c r="Q118">
        <v>5.67</v>
      </c>
      <c r="R118">
        <v>32.5</v>
      </c>
      <c r="S118" t="s">
        <v>58</v>
      </c>
      <c r="T118">
        <v>10</v>
      </c>
      <c r="U118">
        <f t="shared" si="5"/>
        <v>56.7</v>
      </c>
      <c r="V118">
        <v>0.72</v>
      </c>
      <c r="W118">
        <v>0</v>
      </c>
      <c r="X118">
        <v>0</v>
      </c>
      <c r="Y118">
        <f t="shared" si="6"/>
        <v>0</v>
      </c>
      <c r="Z118">
        <f t="shared" si="7"/>
        <v>40.823999999999998</v>
      </c>
      <c r="AA118">
        <f t="shared" si="8"/>
        <v>40.823999999999998</v>
      </c>
      <c r="AB118">
        <f t="shared" si="9"/>
        <v>975.28535999999997</v>
      </c>
    </row>
    <row r="119" spans="1:28" ht="25.5" x14ac:dyDescent="0.25">
      <c r="A119" s="7">
        <v>118</v>
      </c>
      <c r="B119" s="7" t="s">
        <v>15</v>
      </c>
      <c r="C119" s="7" t="s">
        <v>113</v>
      </c>
      <c r="D119" s="7" t="s">
        <v>215</v>
      </c>
      <c r="E119" s="7"/>
      <c r="F119" s="8"/>
      <c r="G119" s="7" t="s">
        <v>215</v>
      </c>
      <c r="H119" s="9">
        <v>33.871003999999999</v>
      </c>
      <c r="I119" s="9">
        <v>7.8769450000000001</v>
      </c>
      <c r="J119" s="7" t="s">
        <v>115</v>
      </c>
      <c r="K119" s="7" t="s">
        <v>37</v>
      </c>
      <c r="L119" s="7"/>
      <c r="M119" s="10">
        <v>11.79</v>
      </c>
      <c r="N119" s="7" t="s">
        <v>70</v>
      </c>
      <c r="O119" s="7"/>
      <c r="P119" s="8" t="s">
        <v>39</v>
      </c>
      <c r="Q119">
        <v>7.59</v>
      </c>
      <c r="R119">
        <v>28.4</v>
      </c>
      <c r="S119" t="s">
        <v>58</v>
      </c>
      <c r="T119">
        <v>9</v>
      </c>
      <c r="U119">
        <f t="shared" si="5"/>
        <v>68.31</v>
      </c>
      <c r="V119">
        <v>0.81</v>
      </c>
      <c r="W119">
        <v>120</v>
      </c>
      <c r="X119">
        <v>0.35</v>
      </c>
      <c r="Y119">
        <f t="shared" si="6"/>
        <v>42</v>
      </c>
      <c r="Z119">
        <f t="shared" si="7"/>
        <v>55.331100000000006</v>
      </c>
      <c r="AA119">
        <f t="shared" si="8"/>
        <v>13.331100000000006</v>
      </c>
      <c r="AB119">
        <f t="shared" si="9"/>
        <v>157.17366900000007</v>
      </c>
    </row>
    <row r="120" spans="1:28" ht="25.5" x14ac:dyDescent="0.25">
      <c r="A120" s="7">
        <v>119</v>
      </c>
      <c r="B120" s="7" t="s">
        <v>15</v>
      </c>
      <c r="C120" s="7" t="s">
        <v>116</v>
      </c>
      <c r="D120" s="7" t="s">
        <v>216</v>
      </c>
      <c r="E120" s="7"/>
      <c r="F120" s="8"/>
      <c r="G120" s="7" t="s">
        <v>216</v>
      </c>
      <c r="H120" s="9">
        <v>36.855691999999998</v>
      </c>
      <c r="I120" s="9">
        <v>10.339240999999999</v>
      </c>
      <c r="J120" s="7" t="s">
        <v>118</v>
      </c>
      <c r="K120" s="7" t="s">
        <v>37</v>
      </c>
      <c r="L120" s="7"/>
      <c r="M120" s="10">
        <v>2.9</v>
      </c>
      <c r="N120" s="7" t="s">
        <v>74</v>
      </c>
      <c r="O120" s="7"/>
      <c r="P120" s="8" t="s">
        <v>39</v>
      </c>
      <c r="Q120">
        <v>5.55</v>
      </c>
      <c r="R120">
        <v>20.5</v>
      </c>
      <c r="S120" t="s">
        <v>53</v>
      </c>
      <c r="T120">
        <v>10</v>
      </c>
      <c r="U120">
        <f t="shared" si="5"/>
        <v>55.5</v>
      </c>
      <c r="V120">
        <v>1.03</v>
      </c>
      <c r="W120">
        <v>0</v>
      </c>
      <c r="X120">
        <v>0</v>
      </c>
      <c r="Y120">
        <f t="shared" si="6"/>
        <v>0</v>
      </c>
      <c r="Z120">
        <f t="shared" si="7"/>
        <v>57.164999999999999</v>
      </c>
      <c r="AA120">
        <f t="shared" si="8"/>
        <v>57.164999999999999</v>
      </c>
      <c r="AB120">
        <f t="shared" si="9"/>
        <v>165.77849999999998</v>
      </c>
    </row>
    <row r="121" spans="1:28" ht="25.5" x14ac:dyDescent="0.25">
      <c r="A121" s="7">
        <v>120</v>
      </c>
      <c r="B121" s="7" t="s">
        <v>15</v>
      </c>
      <c r="C121" s="7" t="s">
        <v>119</v>
      </c>
      <c r="D121" s="7" t="s">
        <v>217</v>
      </c>
      <c r="E121" s="7"/>
      <c r="F121" s="8"/>
      <c r="G121" s="7" t="s">
        <v>217</v>
      </c>
      <c r="H121" s="9">
        <v>36.366520000000001</v>
      </c>
      <c r="I121" s="9">
        <v>9.6227300000000007</v>
      </c>
      <c r="J121" s="7" t="s">
        <v>121</v>
      </c>
      <c r="K121" s="7" t="s">
        <v>37</v>
      </c>
      <c r="L121" s="7"/>
      <c r="M121" s="10">
        <v>2.14</v>
      </c>
      <c r="N121" s="7" t="s">
        <v>78</v>
      </c>
      <c r="O121" s="7"/>
      <c r="P121" s="8" t="s">
        <v>39</v>
      </c>
      <c r="Q121">
        <v>1.97</v>
      </c>
      <c r="R121">
        <v>13.5</v>
      </c>
      <c r="S121" t="s">
        <v>91</v>
      </c>
      <c r="T121">
        <v>14</v>
      </c>
      <c r="U121">
        <f t="shared" si="5"/>
        <v>27.58</v>
      </c>
      <c r="V121">
        <v>1.35</v>
      </c>
      <c r="W121">
        <v>80</v>
      </c>
      <c r="X121">
        <v>0.35</v>
      </c>
      <c r="Y121">
        <f t="shared" si="6"/>
        <v>28</v>
      </c>
      <c r="Z121">
        <f t="shared" si="7"/>
        <v>37.232999999999997</v>
      </c>
      <c r="AA121">
        <f t="shared" si="8"/>
        <v>9.232999999999997</v>
      </c>
      <c r="AB121">
        <f t="shared" si="9"/>
        <v>19.758619999999993</v>
      </c>
    </row>
    <row r="122" spans="1:28" ht="25.5" x14ac:dyDescent="0.25">
      <c r="A122" s="7">
        <v>121</v>
      </c>
      <c r="B122" s="7" t="s">
        <v>15</v>
      </c>
      <c r="C122" s="7" t="s">
        <v>34</v>
      </c>
      <c r="D122" s="7" t="s">
        <v>218</v>
      </c>
      <c r="E122" s="7"/>
      <c r="F122" s="8"/>
      <c r="G122" s="7" t="s">
        <v>218</v>
      </c>
      <c r="H122" s="9">
        <v>36.892162999999996</v>
      </c>
      <c r="I122" s="9">
        <v>10.21017</v>
      </c>
      <c r="J122" s="7" t="s">
        <v>36</v>
      </c>
      <c r="K122" s="7" t="s">
        <v>37</v>
      </c>
      <c r="L122" s="7"/>
      <c r="M122" s="10">
        <v>6.06</v>
      </c>
      <c r="N122" s="7" t="s">
        <v>38</v>
      </c>
      <c r="O122" s="7"/>
      <c r="P122" s="8" t="s">
        <v>39</v>
      </c>
      <c r="Q122">
        <v>4.37</v>
      </c>
      <c r="R122">
        <v>23.4</v>
      </c>
      <c r="S122" t="s">
        <v>53</v>
      </c>
      <c r="T122">
        <v>18</v>
      </c>
      <c r="U122">
        <f t="shared" si="5"/>
        <v>78.66</v>
      </c>
      <c r="V122">
        <v>1.1499999999999999</v>
      </c>
      <c r="W122">
        <v>80</v>
      </c>
      <c r="X122">
        <v>0.35</v>
      </c>
      <c r="Y122">
        <f t="shared" si="6"/>
        <v>28</v>
      </c>
      <c r="Z122">
        <f t="shared" si="7"/>
        <v>90.458999999999989</v>
      </c>
      <c r="AA122">
        <f t="shared" si="8"/>
        <v>62.458999999999989</v>
      </c>
      <c r="AB122">
        <f t="shared" si="9"/>
        <v>378.50153999999992</v>
      </c>
    </row>
    <row r="123" spans="1:28" ht="25.5" x14ac:dyDescent="0.25">
      <c r="A123" s="7">
        <v>122</v>
      </c>
      <c r="B123" s="7" t="s">
        <v>15</v>
      </c>
      <c r="C123" s="7" t="s">
        <v>41</v>
      </c>
      <c r="D123" s="7" t="s">
        <v>219</v>
      </c>
      <c r="E123" s="7"/>
      <c r="F123" s="8"/>
      <c r="G123" s="7" t="s">
        <v>219</v>
      </c>
      <c r="H123" s="9">
        <v>36.657910999999999</v>
      </c>
      <c r="I123" s="9">
        <v>9.6102299999999996</v>
      </c>
      <c r="J123" s="7" t="s">
        <v>43</v>
      </c>
      <c r="K123" s="7" t="s">
        <v>37</v>
      </c>
      <c r="L123" s="7"/>
      <c r="M123" s="10">
        <v>5.24</v>
      </c>
      <c r="N123" s="7" t="s">
        <v>44</v>
      </c>
      <c r="O123" s="7"/>
      <c r="P123" s="8" t="s">
        <v>39</v>
      </c>
      <c r="Q123">
        <v>4.38</v>
      </c>
      <c r="R123">
        <v>20.100000000000001</v>
      </c>
      <c r="S123" t="s">
        <v>53</v>
      </c>
      <c r="T123">
        <v>18</v>
      </c>
      <c r="U123">
        <f t="shared" si="5"/>
        <v>78.84</v>
      </c>
      <c r="V123">
        <v>1.1499999999999999</v>
      </c>
      <c r="W123">
        <v>50</v>
      </c>
      <c r="X123">
        <v>0.35</v>
      </c>
      <c r="Y123">
        <f t="shared" si="6"/>
        <v>17.5</v>
      </c>
      <c r="Z123">
        <f t="shared" si="7"/>
        <v>90.665999999999997</v>
      </c>
      <c r="AA123">
        <f t="shared" si="8"/>
        <v>73.165999999999997</v>
      </c>
      <c r="AB123">
        <f t="shared" si="9"/>
        <v>383.38983999999999</v>
      </c>
    </row>
    <row r="124" spans="1:28" ht="25.5" x14ac:dyDescent="0.25">
      <c r="A124" s="7">
        <v>123</v>
      </c>
      <c r="B124" s="7" t="s">
        <v>15</v>
      </c>
      <c r="C124" s="7" t="s">
        <v>45</v>
      </c>
      <c r="D124" s="7" t="s">
        <v>220</v>
      </c>
      <c r="E124" s="7"/>
      <c r="F124" s="8"/>
      <c r="G124" s="7" t="s">
        <v>220</v>
      </c>
      <c r="H124" s="9">
        <v>36.639310000000002</v>
      </c>
      <c r="I124" s="9">
        <v>10.300209000000001</v>
      </c>
      <c r="J124" s="7" t="s">
        <v>47</v>
      </c>
      <c r="K124" s="7" t="s">
        <v>37</v>
      </c>
      <c r="L124" s="7"/>
      <c r="M124" s="10">
        <v>10.029999999999999</v>
      </c>
      <c r="N124" s="7" t="s">
        <v>48</v>
      </c>
      <c r="O124" s="7"/>
      <c r="P124" s="8" t="s">
        <v>39</v>
      </c>
      <c r="Q124">
        <v>2.84</v>
      </c>
      <c r="R124">
        <v>32.299999999999997</v>
      </c>
      <c r="S124" t="s">
        <v>58</v>
      </c>
      <c r="T124">
        <v>16</v>
      </c>
      <c r="U124">
        <f t="shared" si="5"/>
        <v>45.44</v>
      </c>
      <c r="V124">
        <v>0.81</v>
      </c>
      <c r="W124">
        <v>0</v>
      </c>
      <c r="X124">
        <v>0</v>
      </c>
      <c r="Y124">
        <f t="shared" si="6"/>
        <v>0</v>
      </c>
      <c r="Z124">
        <f t="shared" si="7"/>
        <v>36.806400000000004</v>
      </c>
      <c r="AA124">
        <f t="shared" si="8"/>
        <v>36.806400000000004</v>
      </c>
      <c r="AB124">
        <f t="shared" si="9"/>
        <v>369.16819200000003</v>
      </c>
    </row>
    <row r="125" spans="1:28" ht="25.5" x14ac:dyDescent="0.25">
      <c r="A125" s="7">
        <v>124</v>
      </c>
      <c r="B125" s="7" t="s">
        <v>15</v>
      </c>
      <c r="C125" s="7" t="s">
        <v>49</v>
      </c>
      <c r="D125" s="7" t="s">
        <v>221</v>
      </c>
      <c r="E125" s="7"/>
      <c r="F125" s="8"/>
      <c r="G125" s="7" t="s">
        <v>221</v>
      </c>
      <c r="H125" s="9">
        <v>37.142051000000002</v>
      </c>
      <c r="I125" s="9">
        <v>9.8060639999999992</v>
      </c>
      <c r="J125" s="7" t="s">
        <v>51</v>
      </c>
      <c r="K125" s="7" t="s">
        <v>37</v>
      </c>
      <c r="L125" s="7"/>
      <c r="M125" s="10">
        <v>19.62</v>
      </c>
      <c r="N125" s="7" t="s">
        <v>52</v>
      </c>
      <c r="O125" s="7"/>
      <c r="P125" s="8" t="s">
        <v>39</v>
      </c>
      <c r="Q125">
        <v>7.31</v>
      </c>
      <c r="R125">
        <v>25.1</v>
      </c>
      <c r="S125" t="s">
        <v>58</v>
      </c>
      <c r="T125">
        <v>12</v>
      </c>
      <c r="U125">
        <f t="shared" si="5"/>
        <v>87.72</v>
      </c>
      <c r="V125">
        <v>0.99</v>
      </c>
      <c r="W125">
        <v>0</v>
      </c>
      <c r="X125">
        <v>0</v>
      </c>
      <c r="Y125">
        <f t="shared" si="6"/>
        <v>0</v>
      </c>
      <c r="Z125">
        <f t="shared" si="7"/>
        <v>86.842799999999997</v>
      </c>
      <c r="AA125">
        <f t="shared" si="8"/>
        <v>86.842799999999997</v>
      </c>
      <c r="AB125">
        <f t="shared" si="9"/>
        <v>1703.855736</v>
      </c>
    </row>
    <row r="126" spans="1:28" ht="25.5" x14ac:dyDescent="0.25">
      <c r="A126" s="7">
        <v>125</v>
      </c>
      <c r="B126" s="7" t="s">
        <v>15</v>
      </c>
      <c r="C126" s="7" t="s">
        <v>54</v>
      </c>
      <c r="D126" s="7" t="s">
        <v>222</v>
      </c>
      <c r="E126" s="7"/>
      <c r="F126" s="8"/>
      <c r="G126" s="7" t="s">
        <v>222</v>
      </c>
      <c r="H126" s="9">
        <v>33.648929000000003</v>
      </c>
      <c r="I126" s="9">
        <v>10.296616999999999</v>
      </c>
      <c r="J126" s="7" t="s">
        <v>56</v>
      </c>
      <c r="K126" s="7" t="s">
        <v>37</v>
      </c>
      <c r="L126" s="7"/>
      <c r="M126" s="10">
        <v>21.31</v>
      </c>
      <c r="N126" s="7" t="s">
        <v>57</v>
      </c>
      <c r="O126" s="7"/>
      <c r="P126" s="8" t="s">
        <v>39</v>
      </c>
      <c r="Q126">
        <v>4.6500000000000004</v>
      </c>
      <c r="R126">
        <v>13</v>
      </c>
      <c r="S126" t="s">
        <v>91</v>
      </c>
      <c r="T126">
        <v>8</v>
      </c>
      <c r="U126">
        <f t="shared" si="5"/>
        <v>37.200000000000003</v>
      </c>
      <c r="V126">
        <v>1.6</v>
      </c>
      <c r="W126">
        <v>0</v>
      </c>
      <c r="X126">
        <v>0</v>
      </c>
      <c r="Y126">
        <f t="shared" si="6"/>
        <v>0</v>
      </c>
      <c r="Z126">
        <f t="shared" si="7"/>
        <v>59.52000000000001</v>
      </c>
      <c r="AA126">
        <f t="shared" si="8"/>
        <v>59.52000000000001</v>
      </c>
      <c r="AB126">
        <f t="shared" si="9"/>
        <v>1268.3712</v>
      </c>
    </row>
    <row r="127" spans="1:28" ht="25.5" x14ac:dyDescent="0.25">
      <c r="A127" s="7">
        <v>126</v>
      </c>
      <c r="B127" s="7" t="s">
        <v>15</v>
      </c>
      <c r="C127" s="7" t="s">
        <v>59</v>
      </c>
      <c r="D127" s="7" t="s">
        <v>223</v>
      </c>
      <c r="E127" s="7"/>
      <c r="F127" s="8"/>
      <c r="G127" s="7" t="s">
        <v>223</v>
      </c>
      <c r="H127" s="9">
        <v>34.332473</v>
      </c>
      <c r="I127" s="9">
        <v>8.4143059999999998</v>
      </c>
      <c r="J127" s="7" t="s">
        <v>61</v>
      </c>
      <c r="K127" s="7" t="s">
        <v>37</v>
      </c>
      <c r="L127" s="7"/>
      <c r="M127" s="10">
        <v>18.32</v>
      </c>
      <c r="N127" s="7" t="s">
        <v>62</v>
      </c>
      <c r="O127" s="7"/>
      <c r="P127" s="8" t="s">
        <v>39</v>
      </c>
      <c r="Q127">
        <v>6.81</v>
      </c>
      <c r="R127">
        <v>44.8</v>
      </c>
      <c r="S127" t="s">
        <v>40</v>
      </c>
      <c r="T127">
        <v>7</v>
      </c>
      <c r="U127">
        <f t="shared" si="5"/>
        <v>47.669999999999995</v>
      </c>
      <c r="V127">
        <v>0.66</v>
      </c>
      <c r="W127">
        <v>80</v>
      </c>
      <c r="X127">
        <v>0.35</v>
      </c>
      <c r="Y127">
        <f t="shared" si="6"/>
        <v>28</v>
      </c>
      <c r="Z127">
        <f t="shared" si="7"/>
        <v>31.462199999999999</v>
      </c>
      <c r="AA127">
        <f t="shared" si="8"/>
        <v>3.4621999999999993</v>
      </c>
      <c r="AB127">
        <f t="shared" si="9"/>
        <v>63.427503999999985</v>
      </c>
    </row>
    <row r="128" spans="1:28" ht="25.5" x14ac:dyDescent="0.25">
      <c r="A128" s="7">
        <v>127</v>
      </c>
      <c r="B128" s="7" t="s">
        <v>15</v>
      </c>
      <c r="C128" s="7" t="s">
        <v>63</v>
      </c>
      <c r="D128" s="7" t="s">
        <v>224</v>
      </c>
      <c r="E128" s="7"/>
      <c r="F128" s="8"/>
      <c r="G128" s="7" t="s">
        <v>224</v>
      </c>
      <c r="H128" s="9">
        <v>36.970137999999999</v>
      </c>
      <c r="I128" s="9">
        <v>8.7671469999999996</v>
      </c>
      <c r="J128" s="7" t="s">
        <v>65</v>
      </c>
      <c r="K128" s="7" t="s">
        <v>37</v>
      </c>
      <c r="L128" s="7"/>
      <c r="M128" s="10">
        <v>2.65</v>
      </c>
      <c r="N128" s="7" t="s">
        <v>66</v>
      </c>
      <c r="O128" s="7"/>
      <c r="P128" s="8" t="s">
        <v>39</v>
      </c>
      <c r="Q128">
        <v>6.65</v>
      </c>
      <c r="R128">
        <v>29.1</v>
      </c>
      <c r="S128" t="s">
        <v>58</v>
      </c>
      <c r="T128">
        <v>10</v>
      </c>
      <c r="U128">
        <f t="shared" si="5"/>
        <v>66.5</v>
      </c>
      <c r="V128">
        <v>0.72</v>
      </c>
      <c r="W128">
        <v>0</v>
      </c>
      <c r="X128">
        <v>0</v>
      </c>
      <c r="Y128">
        <f t="shared" si="6"/>
        <v>0</v>
      </c>
      <c r="Z128">
        <f t="shared" si="7"/>
        <v>47.879999999999995</v>
      </c>
      <c r="AA128">
        <f t="shared" si="8"/>
        <v>47.879999999999995</v>
      </c>
      <c r="AB128">
        <f t="shared" si="9"/>
        <v>126.88199999999999</v>
      </c>
    </row>
    <row r="129" spans="1:28" ht="25.5" x14ac:dyDescent="0.25">
      <c r="A129" s="7">
        <v>128</v>
      </c>
      <c r="B129" s="7" t="s">
        <v>15</v>
      </c>
      <c r="C129" s="7" t="s">
        <v>67</v>
      </c>
      <c r="D129" s="7" t="s">
        <v>225</v>
      </c>
      <c r="E129" s="7"/>
      <c r="F129" s="8"/>
      <c r="G129" s="7" t="s">
        <v>225</v>
      </c>
      <c r="H129" s="9">
        <v>35.608801999999997</v>
      </c>
      <c r="I129" s="9">
        <v>9.9011770000000006</v>
      </c>
      <c r="J129" s="7" t="s">
        <v>69</v>
      </c>
      <c r="K129" s="7" t="s">
        <v>37</v>
      </c>
      <c r="L129" s="7"/>
      <c r="M129" s="10">
        <v>8.1199999999999992</v>
      </c>
      <c r="N129" s="7" t="s">
        <v>70</v>
      </c>
      <c r="O129" s="7"/>
      <c r="P129" s="8" t="s">
        <v>39</v>
      </c>
      <c r="Q129">
        <v>6</v>
      </c>
      <c r="R129">
        <v>44.6</v>
      </c>
      <c r="S129" t="s">
        <v>40</v>
      </c>
      <c r="T129">
        <v>9</v>
      </c>
      <c r="U129">
        <f t="shared" si="5"/>
        <v>54</v>
      </c>
      <c r="V129">
        <v>0.54</v>
      </c>
      <c r="W129">
        <v>160</v>
      </c>
      <c r="X129">
        <v>0.35</v>
      </c>
      <c r="Y129">
        <f t="shared" si="6"/>
        <v>56</v>
      </c>
      <c r="Z129">
        <f t="shared" si="7"/>
        <v>29.160000000000004</v>
      </c>
      <c r="AA129">
        <f t="shared" si="8"/>
        <v>0</v>
      </c>
      <c r="AB129">
        <f t="shared" si="9"/>
        <v>0</v>
      </c>
    </row>
    <row r="130" spans="1:28" ht="25.5" x14ac:dyDescent="0.25">
      <c r="A130" s="7">
        <v>129</v>
      </c>
      <c r="B130" s="7" t="s">
        <v>15</v>
      </c>
      <c r="C130" s="7" t="s">
        <v>71</v>
      </c>
      <c r="D130" s="7" t="s">
        <v>226</v>
      </c>
      <c r="E130" s="7"/>
      <c r="F130" s="8"/>
      <c r="G130" s="7" t="s">
        <v>226</v>
      </c>
      <c r="H130" s="9">
        <v>35.238517000000002</v>
      </c>
      <c r="I130" s="9">
        <v>9.1038479999999993</v>
      </c>
      <c r="J130" s="7" t="s">
        <v>73</v>
      </c>
      <c r="K130" s="7" t="s">
        <v>37</v>
      </c>
      <c r="L130" s="7"/>
      <c r="M130" s="10">
        <v>21.24</v>
      </c>
      <c r="N130" s="7" t="s">
        <v>74</v>
      </c>
      <c r="O130" s="7"/>
      <c r="P130" s="8" t="s">
        <v>39</v>
      </c>
      <c r="Q130">
        <v>7.59</v>
      </c>
      <c r="R130">
        <v>10.8</v>
      </c>
      <c r="S130" t="s">
        <v>91</v>
      </c>
      <c r="T130">
        <v>10</v>
      </c>
      <c r="U130">
        <f t="shared" ref="U130:U193" si="10">Q130*T130</f>
        <v>75.900000000000006</v>
      </c>
      <c r="V130">
        <v>1.22</v>
      </c>
      <c r="W130">
        <v>0</v>
      </c>
      <c r="X130">
        <v>0</v>
      </c>
      <c r="Y130">
        <f t="shared" ref="Y130:Y193" si="11">W130*X130</f>
        <v>0</v>
      </c>
      <c r="Z130">
        <f t="shared" ref="Z130:Z193" si="12">U130*V130</f>
        <v>92.597999999999999</v>
      </c>
      <c r="AA130">
        <f t="shared" ref="AA130:AA193" si="13">MAX(0,Z130-Y130)</f>
        <v>92.597999999999999</v>
      </c>
      <c r="AB130">
        <f t="shared" si="9"/>
        <v>1966.7815199999998</v>
      </c>
    </row>
    <row r="131" spans="1:28" ht="25.5" x14ac:dyDescent="0.25">
      <c r="A131" s="7">
        <v>130</v>
      </c>
      <c r="B131" s="7" t="s">
        <v>15</v>
      </c>
      <c r="C131" s="7" t="s">
        <v>75</v>
      </c>
      <c r="D131" s="7" t="s">
        <v>227</v>
      </c>
      <c r="E131" s="7"/>
      <c r="F131" s="8"/>
      <c r="G131" s="7" t="s">
        <v>227</v>
      </c>
      <c r="H131" s="9">
        <v>33.467509</v>
      </c>
      <c r="I131" s="9">
        <v>9.0090599999999998</v>
      </c>
      <c r="J131" s="7" t="s">
        <v>77</v>
      </c>
      <c r="K131" s="7" t="s">
        <v>37</v>
      </c>
      <c r="L131" s="7"/>
      <c r="M131" s="10">
        <v>14.48</v>
      </c>
      <c r="N131" s="7" t="s">
        <v>78</v>
      </c>
      <c r="O131" s="7"/>
      <c r="P131" s="8" t="s">
        <v>39</v>
      </c>
      <c r="Q131">
        <v>6.34</v>
      </c>
      <c r="R131">
        <v>37.200000000000003</v>
      </c>
      <c r="S131" t="s">
        <v>40</v>
      </c>
      <c r="T131">
        <v>14</v>
      </c>
      <c r="U131">
        <f t="shared" si="10"/>
        <v>88.759999999999991</v>
      </c>
      <c r="V131">
        <v>0.6</v>
      </c>
      <c r="W131">
        <v>160</v>
      </c>
      <c r="X131">
        <v>0.35</v>
      </c>
      <c r="Y131">
        <f t="shared" si="11"/>
        <v>56</v>
      </c>
      <c r="Z131">
        <f t="shared" si="12"/>
        <v>53.255999999999993</v>
      </c>
      <c r="AA131">
        <f t="shared" si="13"/>
        <v>0</v>
      </c>
      <c r="AB131">
        <f t="shared" ref="AB131:AB194" si="14">AA131*M131</f>
        <v>0</v>
      </c>
    </row>
    <row r="132" spans="1:28" ht="25.5" x14ac:dyDescent="0.25">
      <c r="A132" s="7">
        <v>131</v>
      </c>
      <c r="B132" s="7" t="s">
        <v>15</v>
      </c>
      <c r="C132" s="7" t="s">
        <v>79</v>
      </c>
      <c r="D132" s="7" t="s">
        <v>228</v>
      </c>
      <c r="E132" s="7"/>
      <c r="F132" s="8"/>
      <c r="G132" s="7" t="s">
        <v>228</v>
      </c>
      <c r="H132" s="9">
        <v>35.956108</v>
      </c>
      <c r="I132" s="9">
        <v>8.8392189999999999</v>
      </c>
      <c r="J132" s="7" t="s">
        <v>81</v>
      </c>
      <c r="K132" s="7" t="s">
        <v>37</v>
      </c>
      <c r="L132" s="7"/>
      <c r="M132" s="10">
        <v>21.11</v>
      </c>
      <c r="N132" s="7" t="s">
        <v>38</v>
      </c>
      <c r="O132" s="7"/>
      <c r="P132" s="8" t="s">
        <v>39</v>
      </c>
      <c r="Q132">
        <v>5.66</v>
      </c>
      <c r="R132">
        <v>32.700000000000003</v>
      </c>
      <c r="S132" t="s">
        <v>58</v>
      </c>
      <c r="T132">
        <v>18</v>
      </c>
      <c r="U132">
        <f t="shared" si="10"/>
        <v>101.88</v>
      </c>
      <c r="V132">
        <v>0.9</v>
      </c>
      <c r="W132">
        <v>0</v>
      </c>
      <c r="X132">
        <v>0</v>
      </c>
      <c r="Y132">
        <f t="shared" si="11"/>
        <v>0</v>
      </c>
      <c r="Z132">
        <f t="shared" si="12"/>
        <v>91.691999999999993</v>
      </c>
      <c r="AA132">
        <f t="shared" si="13"/>
        <v>91.691999999999993</v>
      </c>
      <c r="AB132">
        <f t="shared" si="14"/>
        <v>1935.6181199999999</v>
      </c>
    </row>
    <row r="133" spans="1:28" ht="25.5" x14ac:dyDescent="0.25">
      <c r="A133" s="7">
        <v>132</v>
      </c>
      <c r="B133" s="7" t="s">
        <v>15</v>
      </c>
      <c r="C133" s="7" t="s">
        <v>82</v>
      </c>
      <c r="D133" s="7" t="s">
        <v>229</v>
      </c>
      <c r="E133" s="7"/>
      <c r="F133" s="8"/>
      <c r="G133" s="7" t="s">
        <v>229</v>
      </c>
      <c r="H133" s="9">
        <v>35.229697000000002</v>
      </c>
      <c r="I133" s="9">
        <v>11.112114999999999</v>
      </c>
      <c r="J133" s="7" t="s">
        <v>84</v>
      </c>
      <c r="K133" s="7" t="s">
        <v>37</v>
      </c>
      <c r="L133" s="7"/>
      <c r="M133" s="10">
        <v>21.33</v>
      </c>
      <c r="N133" s="7" t="s">
        <v>44</v>
      </c>
      <c r="O133" s="7"/>
      <c r="P133" s="8" t="s">
        <v>39</v>
      </c>
      <c r="Q133">
        <v>3.95</v>
      </c>
      <c r="R133">
        <v>30.8</v>
      </c>
      <c r="S133" t="s">
        <v>58</v>
      </c>
      <c r="T133">
        <v>18</v>
      </c>
      <c r="U133">
        <f t="shared" si="10"/>
        <v>71.100000000000009</v>
      </c>
      <c r="V133">
        <v>0.9</v>
      </c>
      <c r="W133">
        <v>50</v>
      </c>
      <c r="X133">
        <v>0.35</v>
      </c>
      <c r="Y133">
        <f t="shared" si="11"/>
        <v>17.5</v>
      </c>
      <c r="Z133">
        <f t="shared" si="12"/>
        <v>63.990000000000009</v>
      </c>
      <c r="AA133">
        <f t="shared" si="13"/>
        <v>46.490000000000009</v>
      </c>
      <c r="AB133">
        <f t="shared" si="14"/>
        <v>991.63170000000014</v>
      </c>
    </row>
    <row r="134" spans="1:28" ht="25.5" x14ac:dyDescent="0.25">
      <c r="A134" s="7">
        <v>133</v>
      </c>
      <c r="B134" s="7" t="s">
        <v>15</v>
      </c>
      <c r="C134" s="7" t="s">
        <v>85</v>
      </c>
      <c r="D134" s="7" t="s">
        <v>230</v>
      </c>
      <c r="E134" s="7"/>
      <c r="F134" s="8"/>
      <c r="G134" s="7" t="s">
        <v>230</v>
      </c>
      <c r="H134" s="9">
        <v>36.823529999999998</v>
      </c>
      <c r="I134" s="9">
        <v>9.8491169999999997</v>
      </c>
      <c r="J134" s="7" t="s">
        <v>87</v>
      </c>
      <c r="K134" s="7" t="s">
        <v>37</v>
      </c>
      <c r="L134" s="7"/>
      <c r="M134" s="10">
        <v>18.940000000000001</v>
      </c>
      <c r="N134" s="7" t="s">
        <v>48</v>
      </c>
      <c r="O134" s="7"/>
      <c r="P134" s="8" t="s">
        <v>39</v>
      </c>
      <c r="Q134">
        <v>4.1900000000000004</v>
      </c>
      <c r="R134">
        <v>19.899999999999999</v>
      </c>
      <c r="S134" t="s">
        <v>53</v>
      </c>
      <c r="T134">
        <v>16</v>
      </c>
      <c r="U134">
        <f t="shared" si="10"/>
        <v>67.040000000000006</v>
      </c>
      <c r="V134">
        <v>1.03</v>
      </c>
      <c r="W134">
        <v>0</v>
      </c>
      <c r="X134">
        <v>0</v>
      </c>
      <c r="Y134">
        <f t="shared" si="11"/>
        <v>0</v>
      </c>
      <c r="Z134">
        <f t="shared" si="12"/>
        <v>69.051200000000009</v>
      </c>
      <c r="AA134">
        <f t="shared" si="13"/>
        <v>69.051200000000009</v>
      </c>
      <c r="AB134">
        <f t="shared" si="14"/>
        <v>1307.8297280000002</v>
      </c>
    </row>
    <row r="135" spans="1:28" ht="25.5" x14ac:dyDescent="0.25">
      <c r="A135" s="7">
        <v>134</v>
      </c>
      <c r="B135" s="7" t="s">
        <v>15</v>
      </c>
      <c r="C135" s="7" t="s">
        <v>88</v>
      </c>
      <c r="D135" s="7" t="s">
        <v>231</v>
      </c>
      <c r="E135" s="7"/>
      <c r="F135" s="8"/>
      <c r="G135" s="7" t="s">
        <v>231</v>
      </c>
      <c r="H135" s="9">
        <v>33.810594000000002</v>
      </c>
      <c r="I135" s="9">
        <v>10.987695</v>
      </c>
      <c r="J135" s="7" t="s">
        <v>90</v>
      </c>
      <c r="K135" s="7" t="s">
        <v>37</v>
      </c>
      <c r="L135" s="7"/>
      <c r="M135" s="10">
        <v>10.42</v>
      </c>
      <c r="N135" s="7" t="s">
        <v>52</v>
      </c>
      <c r="O135" s="7"/>
      <c r="P135" s="8" t="s">
        <v>39</v>
      </c>
      <c r="Q135">
        <v>4.3899999999999997</v>
      </c>
      <c r="R135">
        <v>13</v>
      </c>
      <c r="S135" t="s">
        <v>91</v>
      </c>
      <c r="T135">
        <v>12</v>
      </c>
      <c r="U135">
        <f t="shared" si="10"/>
        <v>52.679999999999993</v>
      </c>
      <c r="V135">
        <v>1.49</v>
      </c>
      <c r="W135">
        <v>0</v>
      </c>
      <c r="X135">
        <v>0</v>
      </c>
      <c r="Y135">
        <f t="shared" si="11"/>
        <v>0</v>
      </c>
      <c r="Z135">
        <f t="shared" si="12"/>
        <v>78.493199999999987</v>
      </c>
      <c r="AA135">
        <f t="shared" si="13"/>
        <v>78.493199999999987</v>
      </c>
      <c r="AB135">
        <f t="shared" si="14"/>
        <v>817.89914399999986</v>
      </c>
    </row>
    <row r="136" spans="1:28" ht="25.5" x14ac:dyDescent="0.25">
      <c r="A136" s="7">
        <v>135</v>
      </c>
      <c r="B136" s="7" t="s">
        <v>15</v>
      </c>
      <c r="C136" s="7" t="s">
        <v>92</v>
      </c>
      <c r="D136" s="7" t="s">
        <v>232</v>
      </c>
      <c r="E136" s="7"/>
      <c r="F136" s="8"/>
      <c r="G136" s="7" t="s">
        <v>232</v>
      </c>
      <c r="H136" s="9">
        <v>35.616844999999998</v>
      </c>
      <c r="I136" s="9">
        <v>10.754593</v>
      </c>
      <c r="J136" s="7" t="s">
        <v>94</v>
      </c>
      <c r="K136" s="7" t="s">
        <v>37</v>
      </c>
      <c r="L136" s="7"/>
      <c r="M136" s="10">
        <v>9.81</v>
      </c>
      <c r="N136" s="7" t="s">
        <v>57</v>
      </c>
      <c r="O136" s="7"/>
      <c r="P136" s="8" t="s">
        <v>39</v>
      </c>
      <c r="Q136">
        <v>4.95</v>
      </c>
      <c r="R136">
        <v>33.700000000000003</v>
      </c>
      <c r="S136" t="s">
        <v>58</v>
      </c>
      <c r="T136">
        <v>8</v>
      </c>
      <c r="U136">
        <f t="shared" si="10"/>
        <v>39.6</v>
      </c>
      <c r="V136">
        <v>1.08</v>
      </c>
      <c r="W136">
        <v>160</v>
      </c>
      <c r="X136">
        <v>0.35</v>
      </c>
      <c r="Y136">
        <f t="shared" si="11"/>
        <v>56</v>
      </c>
      <c r="Z136">
        <f t="shared" si="12"/>
        <v>42.768000000000008</v>
      </c>
      <c r="AA136">
        <f t="shared" si="13"/>
        <v>0</v>
      </c>
      <c r="AB136">
        <f t="shared" si="14"/>
        <v>0</v>
      </c>
    </row>
    <row r="137" spans="1:28" ht="25.5" x14ac:dyDescent="0.25">
      <c r="A137" s="7">
        <v>136</v>
      </c>
      <c r="B137" s="7" t="s">
        <v>15</v>
      </c>
      <c r="C137" s="7" t="s">
        <v>95</v>
      </c>
      <c r="D137" s="7" t="s">
        <v>233</v>
      </c>
      <c r="E137" s="7"/>
      <c r="F137" s="8"/>
      <c r="G137" s="7" t="s">
        <v>233</v>
      </c>
      <c r="H137" s="9">
        <v>36.561118</v>
      </c>
      <c r="I137" s="9">
        <v>10.886723</v>
      </c>
      <c r="J137" s="7" t="s">
        <v>97</v>
      </c>
      <c r="K137" s="7" t="s">
        <v>37</v>
      </c>
      <c r="L137" s="7"/>
      <c r="M137" s="10">
        <v>19.72</v>
      </c>
      <c r="N137" s="7" t="s">
        <v>62</v>
      </c>
      <c r="O137" s="7"/>
      <c r="P137" s="8" t="s">
        <v>39</v>
      </c>
      <c r="Q137">
        <v>2.19</v>
      </c>
      <c r="R137">
        <v>38.799999999999997</v>
      </c>
      <c r="S137" t="s">
        <v>40</v>
      </c>
      <c r="T137">
        <v>7</v>
      </c>
      <c r="U137">
        <f t="shared" si="10"/>
        <v>15.33</v>
      </c>
      <c r="V137">
        <v>0.66</v>
      </c>
      <c r="W137">
        <v>120</v>
      </c>
      <c r="X137">
        <v>0.35</v>
      </c>
      <c r="Y137">
        <f t="shared" si="11"/>
        <v>42</v>
      </c>
      <c r="Z137">
        <f t="shared" si="12"/>
        <v>10.117800000000001</v>
      </c>
      <c r="AA137">
        <f t="shared" si="13"/>
        <v>0</v>
      </c>
      <c r="AB137">
        <f t="shared" si="14"/>
        <v>0</v>
      </c>
    </row>
    <row r="138" spans="1:28" ht="25.5" x14ac:dyDescent="0.25">
      <c r="A138" s="7">
        <v>137</v>
      </c>
      <c r="B138" s="7" t="s">
        <v>15</v>
      </c>
      <c r="C138" s="7" t="s">
        <v>98</v>
      </c>
      <c r="D138" s="7" t="s">
        <v>234</v>
      </c>
      <c r="E138" s="7"/>
      <c r="F138" s="8"/>
      <c r="G138" s="7" t="s">
        <v>234</v>
      </c>
      <c r="H138" s="9">
        <v>34.753143000000001</v>
      </c>
      <c r="I138" s="9">
        <v>10.522954</v>
      </c>
      <c r="J138" s="7" t="s">
        <v>100</v>
      </c>
      <c r="K138" s="7" t="s">
        <v>37</v>
      </c>
      <c r="L138" s="7"/>
      <c r="M138" s="10">
        <v>9.0500000000000007</v>
      </c>
      <c r="N138" s="7" t="s">
        <v>66</v>
      </c>
      <c r="O138" s="7"/>
      <c r="P138" s="8" t="s">
        <v>39</v>
      </c>
      <c r="Q138">
        <v>6.83</v>
      </c>
      <c r="R138">
        <v>31.6</v>
      </c>
      <c r="S138" t="s">
        <v>58</v>
      </c>
      <c r="T138">
        <v>10</v>
      </c>
      <c r="U138">
        <f t="shared" si="10"/>
        <v>68.3</v>
      </c>
      <c r="V138">
        <v>0.72</v>
      </c>
      <c r="W138">
        <v>50</v>
      </c>
      <c r="X138">
        <v>0.35</v>
      </c>
      <c r="Y138">
        <f t="shared" si="11"/>
        <v>17.5</v>
      </c>
      <c r="Z138">
        <f t="shared" si="12"/>
        <v>49.175999999999995</v>
      </c>
      <c r="AA138">
        <f t="shared" si="13"/>
        <v>31.675999999999995</v>
      </c>
      <c r="AB138">
        <f t="shared" si="14"/>
        <v>286.6678</v>
      </c>
    </row>
    <row r="139" spans="1:28" ht="25.5" x14ac:dyDescent="0.25">
      <c r="A139" s="7">
        <v>138</v>
      </c>
      <c r="B139" s="7" t="s">
        <v>15</v>
      </c>
      <c r="C139" s="7" t="s">
        <v>101</v>
      </c>
      <c r="D139" s="7" t="s">
        <v>235</v>
      </c>
      <c r="E139" s="7"/>
      <c r="F139" s="8"/>
      <c r="G139" s="7" t="s">
        <v>235</v>
      </c>
      <c r="H139" s="9">
        <v>34.906089999999999</v>
      </c>
      <c r="I139" s="9">
        <v>9.8081499999999995</v>
      </c>
      <c r="J139" s="7" t="s">
        <v>103</v>
      </c>
      <c r="K139" s="7" t="s">
        <v>37</v>
      </c>
      <c r="L139" s="7"/>
      <c r="M139" s="10">
        <v>3.84</v>
      </c>
      <c r="N139" s="7" t="s">
        <v>70</v>
      </c>
      <c r="O139" s="7"/>
      <c r="P139" s="8" t="s">
        <v>39</v>
      </c>
      <c r="Q139">
        <v>6.65</v>
      </c>
      <c r="R139">
        <v>29.8</v>
      </c>
      <c r="S139" t="s">
        <v>58</v>
      </c>
      <c r="T139">
        <v>9</v>
      </c>
      <c r="U139">
        <f t="shared" si="10"/>
        <v>59.85</v>
      </c>
      <c r="V139">
        <v>0.81</v>
      </c>
      <c r="W139">
        <v>0</v>
      </c>
      <c r="X139">
        <v>0</v>
      </c>
      <c r="Y139">
        <f t="shared" si="11"/>
        <v>0</v>
      </c>
      <c r="Z139">
        <f t="shared" si="12"/>
        <v>48.478500000000004</v>
      </c>
      <c r="AA139">
        <f t="shared" si="13"/>
        <v>48.478500000000004</v>
      </c>
      <c r="AB139">
        <f t="shared" si="14"/>
        <v>186.15744000000001</v>
      </c>
    </row>
    <row r="140" spans="1:28" ht="25.5" x14ac:dyDescent="0.25">
      <c r="A140" s="7">
        <v>139</v>
      </c>
      <c r="B140" s="7" t="s">
        <v>15</v>
      </c>
      <c r="C140" s="7" t="s">
        <v>104</v>
      </c>
      <c r="D140" s="7" t="s">
        <v>236</v>
      </c>
      <c r="E140" s="7"/>
      <c r="F140" s="8"/>
      <c r="G140" s="7" t="s">
        <v>236</v>
      </c>
      <c r="H140" s="9">
        <v>35.832892000000001</v>
      </c>
      <c r="I140" s="9">
        <v>9.1959269999999993</v>
      </c>
      <c r="J140" s="7" t="s">
        <v>106</v>
      </c>
      <c r="K140" s="7" t="s">
        <v>37</v>
      </c>
      <c r="L140" s="7"/>
      <c r="M140" s="10">
        <v>23.23</v>
      </c>
      <c r="N140" s="7" t="s">
        <v>74</v>
      </c>
      <c r="O140" s="7"/>
      <c r="P140" s="8" t="s">
        <v>39</v>
      </c>
      <c r="Q140">
        <v>2.27</v>
      </c>
      <c r="R140">
        <v>13</v>
      </c>
      <c r="S140" t="s">
        <v>91</v>
      </c>
      <c r="T140">
        <v>10</v>
      </c>
      <c r="U140">
        <f t="shared" si="10"/>
        <v>22.7</v>
      </c>
      <c r="V140">
        <v>1.22</v>
      </c>
      <c r="W140">
        <v>0</v>
      </c>
      <c r="X140">
        <v>0</v>
      </c>
      <c r="Y140">
        <f t="shared" si="11"/>
        <v>0</v>
      </c>
      <c r="Z140">
        <f t="shared" si="12"/>
        <v>27.693999999999999</v>
      </c>
      <c r="AA140">
        <f t="shared" si="13"/>
        <v>27.693999999999999</v>
      </c>
      <c r="AB140">
        <f t="shared" si="14"/>
        <v>643.33162000000004</v>
      </c>
    </row>
    <row r="141" spans="1:28" ht="25.5" x14ac:dyDescent="0.25">
      <c r="A141" s="7">
        <v>140</v>
      </c>
      <c r="B141" s="7" t="s">
        <v>15</v>
      </c>
      <c r="C141" s="7" t="s">
        <v>107</v>
      </c>
      <c r="D141" s="7" t="s">
        <v>237</v>
      </c>
      <c r="E141" s="7"/>
      <c r="F141" s="8"/>
      <c r="G141" s="7" t="s">
        <v>237</v>
      </c>
      <c r="H141" s="9">
        <v>36.109057999999997</v>
      </c>
      <c r="I141" s="9">
        <v>10.407875000000001</v>
      </c>
      <c r="J141" s="7" t="s">
        <v>109</v>
      </c>
      <c r="K141" s="7" t="s">
        <v>37</v>
      </c>
      <c r="L141" s="7"/>
      <c r="M141" s="10">
        <v>21.49</v>
      </c>
      <c r="N141" s="7" t="s">
        <v>78</v>
      </c>
      <c r="O141" s="7"/>
      <c r="P141" s="8" t="s">
        <v>39</v>
      </c>
      <c r="Q141">
        <v>3.73</v>
      </c>
      <c r="R141">
        <v>44.7</v>
      </c>
      <c r="S141" t="s">
        <v>40</v>
      </c>
      <c r="T141">
        <v>14</v>
      </c>
      <c r="U141">
        <f t="shared" si="10"/>
        <v>52.22</v>
      </c>
      <c r="V141">
        <v>0.6</v>
      </c>
      <c r="W141">
        <v>50</v>
      </c>
      <c r="X141">
        <v>0.35</v>
      </c>
      <c r="Y141">
        <f t="shared" si="11"/>
        <v>17.5</v>
      </c>
      <c r="Z141">
        <f t="shared" si="12"/>
        <v>31.331999999999997</v>
      </c>
      <c r="AA141">
        <f t="shared" si="13"/>
        <v>13.831999999999997</v>
      </c>
      <c r="AB141">
        <f t="shared" si="14"/>
        <v>297.2496799999999</v>
      </c>
    </row>
    <row r="142" spans="1:28" ht="25.5" x14ac:dyDescent="0.25">
      <c r="A142" s="7">
        <v>141</v>
      </c>
      <c r="B142" s="7" t="s">
        <v>15</v>
      </c>
      <c r="C142" s="7" t="s">
        <v>110</v>
      </c>
      <c r="D142" s="7" t="s">
        <v>238</v>
      </c>
      <c r="E142" s="7"/>
      <c r="F142" s="8"/>
      <c r="G142" s="7" t="s">
        <v>238</v>
      </c>
      <c r="H142" s="9">
        <v>33.147575000000003</v>
      </c>
      <c r="I142" s="9">
        <v>10.226341</v>
      </c>
      <c r="J142" s="7" t="s">
        <v>112</v>
      </c>
      <c r="K142" s="7" t="s">
        <v>37</v>
      </c>
      <c r="L142" s="7"/>
      <c r="M142" s="10">
        <v>0.57999999999999996</v>
      </c>
      <c r="N142" s="7" t="s">
        <v>38</v>
      </c>
      <c r="O142" s="7"/>
      <c r="P142" s="8" t="s">
        <v>39</v>
      </c>
      <c r="Q142">
        <v>6.95</v>
      </c>
      <c r="R142">
        <v>44.1</v>
      </c>
      <c r="S142" t="s">
        <v>40</v>
      </c>
      <c r="T142">
        <v>18</v>
      </c>
      <c r="U142">
        <f t="shared" si="10"/>
        <v>125.10000000000001</v>
      </c>
      <c r="V142">
        <v>0.6</v>
      </c>
      <c r="W142">
        <v>160</v>
      </c>
      <c r="X142">
        <v>0.35</v>
      </c>
      <c r="Y142">
        <f t="shared" si="11"/>
        <v>56</v>
      </c>
      <c r="Z142">
        <f t="shared" si="12"/>
        <v>75.06</v>
      </c>
      <c r="AA142">
        <f t="shared" si="13"/>
        <v>19.060000000000002</v>
      </c>
      <c r="AB142">
        <f t="shared" si="14"/>
        <v>11.0548</v>
      </c>
    </row>
    <row r="143" spans="1:28" ht="25.5" x14ac:dyDescent="0.25">
      <c r="A143" s="7">
        <v>142</v>
      </c>
      <c r="B143" s="7" t="s">
        <v>15</v>
      </c>
      <c r="C143" s="7" t="s">
        <v>113</v>
      </c>
      <c r="D143" s="7" t="s">
        <v>239</v>
      </c>
      <c r="E143" s="7"/>
      <c r="F143" s="8"/>
      <c r="G143" s="7" t="s">
        <v>239</v>
      </c>
      <c r="H143" s="9">
        <v>33.891159999999999</v>
      </c>
      <c r="I143" s="9">
        <v>7.8713249999999997</v>
      </c>
      <c r="J143" s="7" t="s">
        <v>115</v>
      </c>
      <c r="K143" s="7" t="s">
        <v>37</v>
      </c>
      <c r="L143" s="7"/>
      <c r="M143" s="10">
        <v>20.7</v>
      </c>
      <c r="N143" s="7" t="s">
        <v>44</v>
      </c>
      <c r="O143" s="7"/>
      <c r="P143" s="8" t="s">
        <v>39</v>
      </c>
      <c r="Q143">
        <v>3.52</v>
      </c>
      <c r="R143">
        <v>32.799999999999997</v>
      </c>
      <c r="S143" t="s">
        <v>58</v>
      </c>
      <c r="T143">
        <v>18</v>
      </c>
      <c r="U143">
        <f t="shared" si="10"/>
        <v>63.36</v>
      </c>
      <c r="V143">
        <v>0.9</v>
      </c>
      <c r="W143">
        <v>0</v>
      </c>
      <c r="X143">
        <v>0</v>
      </c>
      <c r="Y143">
        <f t="shared" si="11"/>
        <v>0</v>
      </c>
      <c r="Z143">
        <f t="shared" si="12"/>
        <v>57.024000000000001</v>
      </c>
      <c r="AA143">
        <f t="shared" si="13"/>
        <v>57.024000000000001</v>
      </c>
      <c r="AB143">
        <f t="shared" si="14"/>
        <v>1180.3968</v>
      </c>
    </row>
    <row r="144" spans="1:28" ht="25.5" x14ac:dyDescent="0.25">
      <c r="A144" s="7">
        <v>143</v>
      </c>
      <c r="B144" s="7" t="s">
        <v>15</v>
      </c>
      <c r="C144" s="7" t="s">
        <v>116</v>
      </c>
      <c r="D144" s="7" t="s">
        <v>240</v>
      </c>
      <c r="E144" s="7"/>
      <c r="F144" s="8"/>
      <c r="G144" s="7" t="s">
        <v>240</v>
      </c>
      <c r="H144" s="9">
        <v>36.863579000000001</v>
      </c>
      <c r="I144" s="9">
        <v>10.320460000000001</v>
      </c>
      <c r="J144" s="7" t="s">
        <v>118</v>
      </c>
      <c r="K144" s="7" t="s">
        <v>37</v>
      </c>
      <c r="L144" s="7"/>
      <c r="M144" s="10">
        <v>24.61</v>
      </c>
      <c r="N144" s="7" t="s">
        <v>48</v>
      </c>
      <c r="O144" s="7"/>
      <c r="P144" s="8" t="s">
        <v>39</v>
      </c>
      <c r="Q144">
        <v>7.61</v>
      </c>
      <c r="R144">
        <v>32</v>
      </c>
      <c r="S144" t="s">
        <v>58</v>
      </c>
      <c r="T144">
        <v>16</v>
      </c>
      <c r="U144">
        <f t="shared" si="10"/>
        <v>121.76</v>
      </c>
      <c r="V144">
        <v>0.81</v>
      </c>
      <c r="W144">
        <v>80</v>
      </c>
      <c r="X144">
        <v>0.35</v>
      </c>
      <c r="Y144">
        <f t="shared" si="11"/>
        <v>28</v>
      </c>
      <c r="Z144">
        <f t="shared" si="12"/>
        <v>98.625600000000006</v>
      </c>
      <c r="AA144">
        <f t="shared" si="13"/>
        <v>70.625600000000006</v>
      </c>
      <c r="AB144">
        <f t="shared" si="14"/>
        <v>1738.0960160000002</v>
      </c>
    </row>
    <row r="145" spans="1:28" ht="25.5" x14ac:dyDescent="0.25">
      <c r="A145" s="7">
        <v>144</v>
      </c>
      <c r="B145" s="7" t="s">
        <v>15</v>
      </c>
      <c r="C145" s="7" t="s">
        <v>119</v>
      </c>
      <c r="D145" s="7" t="s">
        <v>241</v>
      </c>
      <c r="E145" s="7"/>
      <c r="F145" s="8"/>
      <c r="G145" s="7" t="s">
        <v>241</v>
      </c>
      <c r="H145" s="9">
        <v>36.400905999999999</v>
      </c>
      <c r="I145" s="9">
        <v>9.6283349999999999</v>
      </c>
      <c r="J145" s="7" t="s">
        <v>121</v>
      </c>
      <c r="K145" s="7" t="s">
        <v>37</v>
      </c>
      <c r="L145" s="7"/>
      <c r="M145" s="10">
        <v>14.27</v>
      </c>
      <c r="N145" s="7" t="s">
        <v>52</v>
      </c>
      <c r="O145" s="7"/>
      <c r="P145" s="8" t="s">
        <v>39</v>
      </c>
      <c r="Q145">
        <v>4.68</v>
      </c>
      <c r="R145">
        <v>26.8</v>
      </c>
      <c r="S145" t="s">
        <v>58</v>
      </c>
      <c r="T145">
        <v>12</v>
      </c>
      <c r="U145">
        <f t="shared" si="10"/>
        <v>56.16</v>
      </c>
      <c r="V145">
        <v>0.99</v>
      </c>
      <c r="W145">
        <v>160</v>
      </c>
      <c r="X145">
        <v>0.35</v>
      </c>
      <c r="Y145">
        <f t="shared" si="11"/>
        <v>56</v>
      </c>
      <c r="Z145">
        <f t="shared" si="12"/>
        <v>55.598399999999998</v>
      </c>
      <c r="AA145">
        <f t="shared" si="13"/>
        <v>0</v>
      </c>
      <c r="AB145">
        <f t="shared" si="14"/>
        <v>0</v>
      </c>
    </row>
    <row r="146" spans="1:28" ht="25.5" x14ac:dyDescent="0.25">
      <c r="A146" s="7">
        <v>145</v>
      </c>
      <c r="B146" s="7" t="s">
        <v>15</v>
      </c>
      <c r="C146" s="7" t="s">
        <v>34</v>
      </c>
      <c r="D146" s="7" t="s">
        <v>242</v>
      </c>
      <c r="E146" s="7"/>
      <c r="F146" s="8"/>
      <c r="G146" s="7" t="s">
        <v>242</v>
      </c>
      <c r="H146" s="9">
        <v>36.878698999999997</v>
      </c>
      <c r="I146" s="9">
        <v>10.218761000000001</v>
      </c>
      <c r="J146" s="7" t="s">
        <v>36</v>
      </c>
      <c r="K146" s="7" t="s">
        <v>37</v>
      </c>
      <c r="L146" s="7"/>
      <c r="M146" s="10">
        <v>13.56</v>
      </c>
      <c r="N146" s="7" t="s">
        <v>57</v>
      </c>
      <c r="O146" s="7"/>
      <c r="P146" s="8" t="s">
        <v>39</v>
      </c>
      <c r="Q146">
        <v>3.98</v>
      </c>
      <c r="R146">
        <v>11.5</v>
      </c>
      <c r="S146" t="s">
        <v>91</v>
      </c>
      <c r="T146">
        <v>8</v>
      </c>
      <c r="U146">
        <f t="shared" si="10"/>
        <v>31.84</v>
      </c>
      <c r="V146">
        <v>1.6</v>
      </c>
      <c r="W146">
        <v>0</v>
      </c>
      <c r="X146">
        <v>0</v>
      </c>
      <c r="Y146">
        <f t="shared" si="11"/>
        <v>0</v>
      </c>
      <c r="Z146">
        <f t="shared" si="12"/>
        <v>50.944000000000003</v>
      </c>
      <c r="AA146">
        <f t="shared" si="13"/>
        <v>50.944000000000003</v>
      </c>
      <c r="AB146">
        <f t="shared" si="14"/>
        <v>690.80064000000004</v>
      </c>
    </row>
    <row r="147" spans="1:28" ht="25.5" x14ac:dyDescent="0.25">
      <c r="A147" s="7">
        <v>146</v>
      </c>
      <c r="B147" s="7" t="s">
        <v>15</v>
      </c>
      <c r="C147" s="7" t="s">
        <v>41</v>
      </c>
      <c r="D147" s="7" t="s">
        <v>243</v>
      </c>
      <c r="E147" s="7"/>
      <c r="F147" s="8"/>
      <c r="G147" s="7" t="s">
        <v>243</v>
      </c>
      <c r="H147" s="9">
        <v>36.631444000000002</v>
      </c>
      <c r="I147" s="9">
        <v>9.6215229999999998</v>
      </c>
      <c r="J147" s="7" t="s">
        <v>43</v>
      </c>
      <c r="K147" s="7" t="s">
        <v>37</v>
      </c>
      <c r="L147" s="7"/>
      <c r="M147" s="10">
        <v>15.43</v>
      </c>
      <c r="N147" s="7" t="s">
        <v>62</v>
      </c>
      <c r="O147" s="7"/>
      <c r="P147" s="8" t="s">
        <v>39</v>
      </c>
      <c r="Q147">
        <v>4.57</v>
      </c>
      <c r="R147">
        <v>44.4</v>
      </c>
      <c r="S147" t="s">
        <v>40</v>
      </c>
      <c r="T147">
        <v>7</v>
      </c>
      <c r="U147">
        <f t="shared" si="10"/>
        <v>31.990000000000002</v>
      </c>
      <c r="V147">
        <v>0.66</v>
      </c>
      <c r="W147">
        <v>0</v>
      </c>
      <c r="X147">
        <v>0</v>
      </c>
      <c r="Y147">
        <f t="shared" si="11"/>
        <v>0</v>
      </c>
      <c r="Z147">
        <f t="shared" si="12"/>
        <v>21.113400000000002</v>
      </c>
      <c r="AA147">
        <f t="shared" si="13"/>
        <v>21.113400000000002</v>
      </c>
      <c r="AB147">
        <f t="shared" si="14"/>
        <v>325.77976200000001</v>
      </c>
    </row>
    <row r="148" spans="1:28" ht="25.5" x14ac:dyDescent="0.25">
      <c r="A148" s="7">
        <v>147</v>
      </c>
      <c r="B148" s="7" t="s">
        <v>15</v>
      </c>
      <c r="C148" s="7" t="s">
        <v>45</v>
      </c>
      <c r="D148" s="7" t="s">
        <v>244</v>
      </c>
      <c r="E148" s="7"/>
      <c r="F148" s="8"/>
      <c r="G148" s="7" t="s">
        <v>244</v>
      </c>
      <c r="H148" s="9">
        <v>36.600977</v>
      </c>
      <c r="I148" s="9">
        <v>10.332917</v>
      </c>
      <c r="J148" s="7" t="s">
        <v>47</v>
      </c>
      <c r="K148" s="7" t="s">
        <v>37</v>
      </c>
      <c r="L148" s="7"/>
      <c r="M148" s="10">
        <v>6.49</v>
      </c>
      <c r="N148" s="7" t="s">
        <v>66</v>
      </c>
      <c r="O148" s="7"/>
      <c r="P148" s="8" t="s">
        <v>39</v>
      </c>
      <c r="Q148">
        <v>6.65</v>
      </c>
      <c r="R148">
        <v>22.9</v>
      </c>
      <c r="S148" t="s">
        <v>53</v>
      </c>
      <c r="T148">
        <v>10</v>
      </c>
      <c r="U148">
        <f t="shared" si="10"/>
        <v>66.5</v>
      </c>
      <c r="V148">
        <v>0.92</v>
      </c>
      <c r="W148">
        <v>120</v>
      </c>
      <c r="X148">
        <v>0.35</v>
      </c>
      <c r="Y148">
        <f t="shared" si="11"/>
        <v>42</v>
      </c>
      <c r="Z148">
        <f t="shared" si="12"/>
        <v>61.18</v>
      </c>
      <c r="AA148">
        <f t="shared" si="13"/>
        <v>19.18</v>
      </c>
      <c r="AB148">
        <f t="shared" si="14"/>
        <v>124.4782</v>
      </c>
    </row>
    <row r="149" spans="1:28" ht="25.5" x14ac:dyDescent="0.25">
      <c r="A149" s="7">
        <v>148</v>
      </c>
      <c r="B149" s="7" t="s">
        <v>15</v>
      </c>
      <c r="C149" s="7" t="s">
        <v>49</v>
      </c>
      <c r="D149" s="7" t="s">
        <v>245</v>
      </c>
      <c r="E149" s="7"/>
      <c r="F149" s="8"/>
      <c r="G149" s="7" t="s">
        <v>245</v>
      </c>
      <c r="H149" s="9">
        <v>37.173856999999998</v>
      </c>
      <c r="I149" s="9">
        <v>9.7713230000000006</v>
      </c>
      <c r="J149" s="7" t="s">
        <v>51</v>
      </c>
      <c r="K149" s="7" t="s">
        <v>37</v>
      </c>
      <c r="L149" s="7"/>
      <c r="M149" s="10">
        <v>7.61</v>
      </c>
      <c r="N149" s="7" t="s">
        <v>70</v>
      </c>
      <c r="O149" s="7"/>
      <c r="P149" s="8" t="s">
        <v>39</v>
      </c>
      <c r="Q149">
        <v>6.98</v>
      </c>
      <c r="R149">
        <v>15.8</v>
      </c>
      <c r="S149" t="s">
        <v>53</v>
      </c>
      <c r="T149">
        <v>9</v>
      </c>
      <c r="U149">
        <f t="shared" si="10"/>
        <v>62.820000000000007</v>
      </c>
      <c r="V149">
        <v>1.03</v>
      </c>
      <c r="W149">
        <v>160</v>
      </c>
      <c r="X149">
        <v>0.35</v>
      </c>
      <c r="Y149">
        <f t="shared" si="11"/>
        <v>56</v>
      </c>
      <c r="Z149">
        <f t="shared" si="12"/>
        <v>64.704600000000013</v>
      </c>
      <c r="AA149">
        <f t="shared" si="13"/>
        <v>8.7046000000000134</v>
      </c>
      <c r="AB149">
        <f t="shared" si="14"/>
        <v>66.242006000000103</v>
      </c>
    </row>
    <row r="150" spans="1:28" ht="25.5" x14ac:dyDescent="0.25">
      <c r="A150" s="7">
        <v>149</v>
      </c>
      <c r="B150" s="7" t="s">
        <v>15</v>
      </c>
      <c r="C150" s="7" t="s">
        <v>54</v>
      </c>
      <c r="D150" s="7" t="s">
        <v>246</v>
      </c>
      <c r="E150" s="7"/>
      <c r="F150" s="8"/>
      <c r="G150" s="7" t="s">
        <v>246</v>
      </c>
      <c r="H150" s="9">
        <v>33.626016999999997</v>
      </c>
      <c r="I150" s="9">
        <v>10.295935</v>
      </c>
      <c r="J150" s="7" t="s">
        <v>56</v>
      </c>
      <c r="K150" s="7" t="s">
        <v>37</v>
      </c>
      <c r="L150" s="7"/>
      <c r="M150" s="10">
        <v>22.72</v>
      </c>
      <c r="N150" s="7" t="s">
        <v>74</v>
      </c>
      <c r="O150" s="7"/>
      <c r="P150" s="8" t="s">
        <v>39</v>
      </c>
      <c r="Q150">
        <v>4.0999999999999996</v>
      </c>
      <c r="R150">
        <v>30.3</v>
      </c>
      <c r="S150" t="s">
        <v>58</v>
      </c>
      <c r="T150">
        <v>10</v>
      </c>
      <c r="U150">
        <f t="shared" si="10"/>
        <v>41</v>
      </c>
      <c r="V150">
        <v>0.81</v>
      </c>
      <c r="W150">
        <v>160</v>
      </c>
      <c r="X150">
        <v>0.35</v>
      </c>
      <c r="Y150">
        <f t="shared" si="11"/>
        <v>56</v>
      </c>
      <c r="Z150">
        <f t="shared" si="12"/>
        <v>33.21</v>
      </c>
      <c r="AA150">
        <f t="shared" si="13"/>
        <v>0</v>
      </c>
      <c r="AB150">
        <f t="shared" si="14"/>
        <v>0</v>
      </c>
    </row>
    <row r="151" spans="1:28" ht="25.5" x14ac:dyDescent="0.25">
      <c r="A151" s="7">
        <v>150</v>
      </c>
      <c r="B151" s="7" t="s">
        <v>15</v>
      </c>
      <c r="C151" s="7" t="s">
        <v>59</v>
      </c>
      <c r="D151" s="7" t="s">
        <v>247</v>
      </c>
      <c r="E151" s="7"/>
      <c r="F151" s="8"/>
      <c r="G151" s="7" t="s">
        <v>247</v>
      </c>
      <c r="H151" s="9">
        <v>34.323487999999998</v>
      </c>
      <c r="I151" s="9">
        <v>8.3964920000000003</v>
      </c>
      <c r="J151" s="7" t="s">
        <v>61</v>
      </c>
      <c r="K151" s="7" t="s">
        <v>37</v>
      </c>
      <c r="L151" s="7"/>
      <c r="M151" s="10">
        <v>0.5</v>
      </c>
      <c r="N151" s="7" t="s">
        <v>78</v>
      </c>
      <c r="O151" s="7"/>
      <c r="P151" s="8" t="s">
        <v>39</v>
      </c>
      <c r="Q151">
        <v>7.13</v>
      </c>
      <c r="R151">
        <v>20.8</v>
      </c>
      <c r="S151" t="s">
        <v>53</v>
      </c>
      <c r="T151">
        <v>14</v>
      </c>
      <c r="U151">
        <f t="shared" si="10"/>
        <v>99.82</v>
      </c>
      <c r="V151">
        <v>1.1499999999999999</v>
      </c>
      <c r="W151">
        <v>0</v>
      </c>
      <c r="X151">
        <v>0</v>
      </c>
      <c r="Y151">
        <f t="shared" si="11"/>
        <v>0</v>
      </c>
      <c r="Z151">
        <f t="shared" si="12"/>
        <v>114.79299999999998</v>
      </c>
      <c r="AA151">
        <f t="shared" si="13"/>
        <v>114.79299999999998</v>
      </c>
      <c r="AB151">
        <f t="shared" si="14"/>
        <v>57.396499999999989</v>
      </c>
    </row>
    <row r="152" spans="1:28" ht="25.5" x14ac:dyDescent="0.25">
      <c r="A152" s="7">
        <v>151</v>
      </c>
      <c r="B152" s="7" t="s">
        <v>15</v>
      </c>
      <c r="C152" s="7" t="s">
        <v>63</v>
      </c>
      <c r="D152" s="7" t="s">
        <v>248</v>
      </c>
      <c r="E152" s="7"/>
      <c r="F152" s="8"/>
      <c r="G152" s="7" t="s">
        <v>248</v>
      </c>
      <c r="H152" s="9">
        <v>36.941828999999998</v>
      </c>
      <c r="I152" s="9">
        <v>8.7717120000000008</v>
      </c>
      <c r="J152" s="7" t="s">
        <v>65</v>
      </c>
      <c r="K152" s="7" t="s">
        <v>37</v>
      </c>
      <c r="L152" s="7"/>
      <c r="M152" s="10">
        <v>5.89</v>
      </c>
      <c r="N152" s="7" t="s">
        <v>38</v>
      </c>
      <c r="O152" s="7"/>
      <c r="P152" s="8" t="s">
        <v>39</v>
      </c>
      <c r="Q152">
        <v>6.57</v>
      </c>
      <c r="R152">
        <v>38.200000000000003</v>
      </c>
      <c r="S152" t="s">
        <v>40</v>
      </c>
      <c r="T152">
        <v>18</v>
      </c>
      <c r="U152">
        <f t="shared" si="10"/>
        <v>118.26</v>
      </c>
      <c r="V152">
        <v>0.6</v>
      </c>
      <c r="W152">
        <v>160</v>
      </c>
      <c r="X152">
        <v>0.35</v>
      </c>
      <c r="Y152">
        <f t="shared" si="11"/>
        <v>56</v>
      </c>
      <c r="Z152">
        <f t="shared" si="12"/>
        <v>70.956000000000003</v>
      </c>
      <c r="AA152">
        <f t="shared" si="13"/>
        <v>14.956000000000003</v>
      </c>
      <c r="AB152">
        <f t="shared" si="14"/>
        <v>88.090840000000014</v>
      </c>
    </row>
    <row r="153" spans="1:28" ht="25.5" x14ac:dyDescent="0.25">
      <c r="A153" s="7">
        <v>152</v>
      </c>
      <c r="B153" s="7" t="s">
        <v>15</v>
      </c>
      <c r="C153" s="7" t="s">
        <v>67</v>
      </c>
      <c r="D153" s="7" t="s">
        <v>249</v>
      </c>
      <c r="E153" s="7"/>
      <c r="F153" s="8"/>
      <c r="G153" s="7" t="s">
        <v>249</v>
      </c>
      <c r="H153" s="9">
        <v>35.619067999999999</v>
      </c>
      <c r="I153" s="9">
        <v>9.9006679999999996</v>
      </c>
      <c r="J153" s="7" t="s">
        <v>69</v>
      </c>
      <c r="K153" s="7" t="s">
        <v>37</v>
      </c>
      <c r="L153" s="7"/>
      <c r="M153" s="10">
        <v>17.57</v>
      </c>
      <c r="N153" s="7" t="s">
        <v>44</v>
      </c>
      <c r="O153" s="7"/>
      <c r="P153" s="8" t="s">
        <v>39</v>
      </c>
      <c r="Q153">
        <v>1.83</v>
      </c>
      <c r="R153">
        <v>24.5</v>
      </c>
      <c r="S153" t="s">
        <v>53</v>
      </c>
      <c r="T153">
        <v>18</v>
      </c>
      <c r="U153">
        <f t="shared" si="10"/>
        <v>32.94</v>
      </c>
      <c r="V153">
        <v>1.1499999999999999</v>
      </c>
      <c r="W153">
        <v>80</v>
      </c>
      <c r="X153">
        <v>0.35</v>
      </c>
      <c r="Y153">
        <f t="shared" si="11"/>
        <v>28</v>
      </c>
      <c r="Z153">
        <f t="shared" si="12"/>
        <v>37.880999999999993</v>
      </c>
      <c r="AA153">
        <f t="shared" si="13"/>
        <v>9.8809999999999931</v>
      </c>
      <c r="AB153">
        <f t="shared" si="14"/>
        <v>173.60916999999989</v>
      </c>
    </row>
    <row r="154" spans="1:28" ht="25.5" x14ac:dyDescent="0.25">
      <c r="A154" s="7">
        <v>153</v>
      </c>
      <c r="B154" s="7" t="s">
        <v>15</v>
      </c>
      <c r="C154" s="7" t="s">
        <v>71</v>
      </c>
      <c r="D154" s="7" t="s">
        <v>250</v>
      </c>
      <c r="E154" s="7"/>
      <c r="F154" s="8"/>
      <c r="G154" s="7" t="s">
        <v>250</v>
      </c>
      <c r="H154" s="9">
        <v>35.247411</v>
      </c>
      <c r="I154" s="9">
        <v>9.0975789999999996</v>
      </c>
      <c r="J154" s="7" t="s">
        <v>73</v>
      </c>
      <c r="K154" s="7" t="s">
        <v>37</v>
      </c>
      <c r="L154" s="7"/>
      <c r="M154" s="10">
        <v>14.59</v>
      </c>
      <c r="N154" s="7" t="s">
        <v>48</v>
      </c>
      <c r="O154" s="7"/>
      <c r="P154" s="8" t="s">
        <v>39</v>
      </c>
      <c r="Q154">
        <v>2.2999999999999998</v>
      </c>
      <c r="R154">
        <v>15.1</v>
      </c>
      <c r="S154" t="s">
        <v>53</v>
      </c>
      <c r="T154">
        <v>16</v>
      </c>
      <c r="U154">
        <f t="shared" si="10"/>
        <v>36.799999999999997</v>
      </c>
      <c r="V154">
        <v>1.03</v>
      </c>
      <c r="W154">
        <v>0</v>
      </c>
      <c r="X154">
        <v>0</v>
      </c>
      <c r="Y154">
        <f t="shared" si="11"/>
        <v>0</v>
      </c>
      <c r="Z154">
        <f t="shared" si="12"/>
        <v>37.903999999999996</v>
      </c>
      <c r="AA154">
        <f t="shared" si="13"/>
        <v>37.903999999999996</v>
      </c>
      <c r="AB154">
        <f t="shared" si="14"/>
        <v>553.01935999999989</v>
      </c>
    </row>
    <row r="155" spans="1:28" ht="25.5" x14ac:dyDescent="0.25">
      <c r="A155" s="7">
        <v>154</v>
      </c>
      <c r="B155" s="7" t="s">
        <v>15</v>
      </c>
      <c r="C155" s="7" t="s">
        <v>75</v>
      </c>
      <c r="D155" s="7" t="s">
        <v>251</v>
      </c>
      <c r="E155" s="7"/>
      <c r="F155" s="8"/>
      <c r="G155" s="7" t="s">
        <v>251</v>
      </c>
      <c r="H155" s="9">
        <v>33.475051999999998</v>
      </c>
      <c r="I155" s="9">
        <v>8.9980209999999996</v>
      </c>
      <c r="J155" s="7" t="s">
        <v>77</v>
      </c>
      <c r="K155" s="7" t="s">
        <v>37</v>
      </c>
      <c r="L155" s="7"/>
      <c r="M155" s="10">
        <v>10.51</v>
      </c>
      <c r="N155" s="7" t="s">
        <v>52</v>
      </c>
      <c r="O155" s="7"/>
      <c r="P155" s="8" t="s">
        <v>39</v>
      </c>
      <c r="Q155">
        <v>6.31</v>
      </c>
      <c r="R155">
        <v>21.1</v>
      </c>
      <c r="S155" t="s">
        <v>53</v>
      </c>
      <c r="T155">
        <v>12</v>
      </c>
      <c r="U155">
        <f t="shared" si="10"/>
        <v>75.72</v>
      </c>
      <c r="V155">
        <v>1.26</v>
      </c>
      <c r="W155">
        <v>0</v>
      </c>
      <c r="X155">
        <v>0</v>
      </c>
      <c r="Y155">
        <f t="shared" si="11"/>
        <v>0</v>
      </c>
      <c r="Z155">
        <f t="shared" si="12"/>
        <v>95.407200000000003</v>
      </c>
      <c r="AA155">
        <f t="shared" si="13"/>
        <v>95.407200000000003</v>
      </c>
      <c r="AB155">
        <f t="shared" si="14"/>
        <v>1002.7296720000001</v>
      </c>
    </row>
    <row r="156" spans="1:28" ht="25.5" x14ac:dyDescent="0.25">
      <c r="A156" s="7">
        <v>155</v>
      </c>
      <c r="B156" s="7" t="s">
        <v>15</v>
      </c>
      <c r="C156" s="7" t="s">
        <v>79</v>
      </c>
      <c r="D156" s="7" t="s">
        <v>252</v>
      </c>
      <c r="E156" s="7"/>
      <c r="F156" s="8"/>
      <c r="G156" s="7" t="s">
        <v>252</v>
      </c>
      <c r="H156" s="9">
        <v>35.925784999999998</v>
      </c>
      <c r="I156" s="9">
        <v>8.8229120000000005</v>
      </c>
      <c r="J156" s="7" t="s">
        <v>81</v>
      </c>
      <c r="K156" s="7" t="s">
        <v>37</v>
      </c>
      <c r="L156" s="7"/>
      <c r="M156" s="10">
        <v>1.83</v>
      </c>
      <c r="N156" s="7" t="s">
        <v>57</v>
      </c>
      <c r="O156" s="7"/>
      <c r="P156" s="8" t="s">
        <v>39</v>
      </c>
      <c r="Q156">
        <v>3.8</v>
      </c>
      <c r="R156">
        <v>40.4</v>
      </c>
      <c r="S156" t="s">
        <v>40</v>
      </c>
      <c r="T156">
        <v>8</v>
      </c>
      <c r="U156">
        <f t="shared" si="10"/>
        <v>30.4</v>
      </c>
      <c r="V156">
        <v>0.72</v>
      </c>
      <c r="W156">
        <v>0</v>
      </c>
      <c r="X156">
        <v>0</v>
      </c>
      <c r="Y156">
        <f t="shared" si="11"/>
        <v>0</v>
      </c>
      <c r="Z156">
        <f t="shared" si="12"/>
        <v>21.887999999999998</v>
      </c>
      <c r="AA156">
        <f t="shared" si="13"/>
        <v>21.887999999999998</v>
      </c>
      <c r="AB156">
        <f t="shared" si="14"/>
        <v>40.055039999999998</v>
      </c>
    </row>
    <row r="157" spans="1:28" ht="25.5" x14ac:dyDescent="0.25">
      <c r="A157" s="7">
        <v>156</v>
      </c>
      <c r="B157" s="7" t="s">
        <v>15</v>
      </c>
      <c r="C157" s="7" t="s">
        <v>82</v>
      </c>
      <c r="D157" s="7" t="s">
        <v>253</v>
      </c>
      <c r="E157" s="7"/>
      <c r="F157" s="8"/>
      <c r="G157" s="7" t="s">
        <v>253</v>
      </c>
      <c r="H157" s="9">
        <v>35.250087999999998</v>
      </c>
      <c r="I157" s="9">
        <v>11.115327000000001</v>
      </c>
      <c r="J157" s="7" t="s">
        <v>84</v>
      </c>
      <c r="K157" s="7" t="s">
        <v>37</v>
      </c>
      <c r="L157" s="7"/>
      <c r="M157" s="10">
        <v>11.12</v>
      </c>
      <c r="N157" s="7" t="s">
        <v>62</v>
      </c>
      <c r="O157" s="7"/>
      <c r="P157" s="8" t="s">
        <v>39</v>
      </c>
      <c r="Q157">
        <v>7.68</v>
      </c>
      <c r="R157">
        <v>12.8</v>
      </c>
      <c r="S157" t="s">
        <v>91</v>
      </c>
      <c r="T157">
        <v>7</v>
      </c>
      <c r="U157">
        <f t="shared" si="10"/>
        <v>53.76</v>
      </c>
      <c r="V157">
        <v>1.49</v>
      </c>
      <c r="W157">
        <v>0</v>
      </c>
      <c r="X157">
        <v>0</v>
      </c>
      <c r="Y157">
        <f t="shared" si="11"/>
        <v>0</v>
      </c>
      <c r="Z157">
        <f t="shared" si="12"/>
        <v>80.102400000000003</v>
      </c>
      <c r="AA157">
        <f t="shared" si="13"/>
        <v>80.102400000000003</v>
      </c>
      <c r="AB157">
        <f t="shared" si="14"/>
        <v>890.73868800000002</v>
      </c>
    </row>
    <row r="158" spans="1:28" ht="25.5" x14ac:dyDescent="0.25">
      <c r="A158" s="7">
        <v>157</v>
      </c>
      <c r="B158" s="7" t="s">
        <v>15</v>
      </c>
      <c r="C158" s="7" t="s">
        <v>85</v>
      </c>
      <c r="D158" s="7" t="s">
        <v>254</v>
      </c>
      <c r="E158" s="7"/>
      <c r="F158" s="8"/>
      <c r="G158" s="7" t="s">
        <v>254</v>
      </c>
      <c r="H158" s="9">
        <v>36.809477000000001</v>
      </c>
      <c r="I158" s="9">
        <v>9.8510580000000001</v>
      </c>
      <c r="J158" s="7" t="s">
        <v>87</v>
      </c>
      <c r="K158" s="7" t="s">
        <v>37</v>
      </c>
      <c r="L158" s="7"/>
      <c r="M158" s="10">
        <v>1</v>
      </c>
      <c r="N158" s="7" t="s">
        <v>66</v>
      </c>
      <c r="O158" s="7"/>
      <c r="P158" s="8" t="s">
        <v>39</v>
      </c>
      <c r="Q158">
        <v>3.88</v>
      </c>
      <c r="R158">
        <v>31.2</v>
      </c>
      <c r="S158" t="s">
        <v>58</v>
      </c>
      <c r="T158">
        <v>10</v>
      </c>
      <c r="U158">
        <f t="shared" si="10"/>
        <v>38.799999999999997</v>
      </c>
      <c r="V158">
        <v>0.72</v>
      </c>
      <c r="W158">
        <v>0</v>
      </c>
      <c r="X158">
        <v>0</v>
      </c>
      <c r="Y158">
        <f t="shared" si="11"/>
        <v>0</v>
      </c>
      <c r="Z158">
        <f t="shared" si="12"/>
        <v>27.935999999999996</v>
      </c>
      <c r="AA158">
        <f t="shared" si="13"/>
        <v>27.935999999999996</v>
      </c>
      <c r="AB158">
        <f t="shared" si="14"/>
        <v>27.935999999999996</v>
      </c>
    </row>
    <row r="159" spans="1:28" ht="25.5" x14ac:dyDescent="0.25">
      <c r="A159" s="7">
        <v>158</v>
      </c>
      <c r="B159" s="7" t="s">
        <v>15</v>
      </c>
      <c r="C159" s="7" t="s">
        <v>88</v>
      </c>
      <c r="D159" s="7" t="s">
        <v>255</v>
      </c>
      <c r="E159" s="7"/>
      <c r="F159" s="8"/>
      <c r="G159" s="7" t="s">
        <v>255</v>
      </c>
      <c r="H159" s="9">
        <v>33.807547999999997</v>
      </c>
      <c r="I159" s="9">
        <v>10.987429000000001</v>
      </c>
      <c r="J159" s="7" t="s">
        <v>90</v>
      </c>
      <c r="K159" s="7" t="s">
        <v>37</v>
      </c>
      <c r="L159" s="7"/>
      <c r="M159" s="10">
        <v>3.86</v>
      </c>
      <c r="N159" s="7" t="s">
        <v>70</v>
      </c>
      <c r="O159" s="7"/>
      <c r="P159" s="8" t="s">
        <v>39</v>
      </c>
      <c r="Q159">
        <v>5.67</v>
      </c>
      <c r="R159">
        <v>26.3</v>
      </c>
      <c r="S159" t="s">
        <v>58</v>
      </c>
      <c r="T159">
        <v>9</v>
      </c>
      <c r="U159">
        <f t="shared" si="10"/>
        <v>51.03</v>
      </c>
      <c r="V159">
        <v>0.81</v>
      </c>
      <c r="W159">
        <v>0</v>
      </c>
      <c r="X159">
        <v>0</v>
      </c>
      <c r="Y159">
        <f t="shared" si="11"/>
        <v>0</v>
      </c>
      <c r="Z159">
        <f t="shared" si="12"/>
        <v>41.334300000000006</v>
      </c>
      <c r="AA159">
        <f t="shared" si="13"/>
        <v>41.334300000000006</v>
      </c>
      <c r="AB159">
        <f t="shared" si="14"/>
        <v>159.55039800000003</v>
      </c>
    </row>
    <row r="160" spans="1:28" ht="25.5" x14ac:dyDescent="0.25">
      <c r="A160" s="7">
        <v>159</v>
      </c>
      <c r="B160" s="7" t="s">
        <v>15</v>
      </c>
      <c r="C160" s="7" t="s">
        <v>92</v>
      </c>
      <c r="D160" s="7" t="s">
        <v>256</v>
      </c>
      <c r="E160" s="7"/>
      <c r="F160" s="8"/>
      <c r="G160" s="7" t="s">
        <v>256</v>
      </c>
      <c r="H160" s="9">
        <v>35.607880000000002</v>
      </c>
      <c r="I160" s="9">
        <v>10.752609</v>
      </c>
      <c r="J160" s="7" t="s">
        <v>94</v>
      </c>
      <c r="K160" s="7" t="s">
        <v>37</v>
      </c>
      <c r="L160" s="7"/>
      <c r="M160" s="10">
        <v>21.18</v>
      </c>
      <c r="N160" s="7" t="s">
        <v>74</v>
      </c>
      <c r="O160" s="7"/>
      <c r="P160" s="8" t="s">
        <v>39</v>
      </c>
      <c r="Q160">
        <v>3.69</v>
      </c>
      <c r="R160">
        <v>40.299999999999997</v>
      </c>
      <c r="S160" t="s">
        <v>40</v>
      </c>
      <c r="T160">
        <v>10</v>
      </c>
      <c r="U160">
        <f t="shared" si="10"/>
        <v>36.9</v>
      </c>
      <c r="V160">
        <v>0.54</v>
      </c>
      <c r="W160">
        <v>0</v>
      </c>
      <c r="X160">
        <v>0</v>
      </c>
      <c r="Y160">
        <f t="shared" si="11"/>
        <v>0</v>
      </c>
      <c r="Z160">
        <f t="shared" si="12"/>
        <v>19.926000000000002</v>
      </c>
      <c r="AA160">
        <f t="shared" si="13"/>
        <v>19.926000000000002</v>
      </c>
      <c r="AB160">
        <f t="shared" si="14"/>
        <v>422.03268000000003</v>
      </c>
    </row>
    <row r="161" spans="1:28" ht="25.5" x14ac:dyDescent="0.25">
      <c r="A161" s="7">
        <v>160</v>
      </c>
      <c r="B161" s="7" t="s">
        <v>15</v>
      </c>
      <c r="C161" s="7" t="s">
        <v>95</v>
      </c>
      <c r="D161" s="7" t="s">
        <v>257</v>
      </c>
      <c r="E161" s="7"/>
      <c r="F161" s="8"/>
      <c r="G161" s="7" t="s">
        <v>257</v>
      </c>
      <c r="H161" s="9">
        <v>36.544837999999999</v>
      </c>
      <c r="I161" s="9">
        <v>10.884247999999999</v>
      </c>
      <c r="J161" s="7" t="s">
        <v>97</v>
      </c>
      <c r="K161" s="7" t="s">
        <v>37</v>
      </c>
      <c r="L161" s="7"/>
      <c r="M161" s="10">
        <v>19.399999999999999</v>
      </c>
      <c r="N161" s="7" t="s">
        <v>78</v>
      </c>
      <c r="O161" s="7"/>
      <c r="P161" s="8" t="s">
        <v>39</v>
      </c>
      <c r="Q161">
        <v>7.57</v>
      </c>
      <c r="R161">
        <v>17.399999999999999</v>
      </c>
      <c r="S161" t="s">
        <v>53</v>
      </c>
      <c r="T161">
        <v>14</v>
      </c>
      <c r="U161">
        <f t="shared" si="10"/>
        <v>105.98</v>
      </c>
      <c r="V161">
        <v>1.1499999999999999</v>
      </c>
      <c r="W161">
        <v>160</v>
      </c>
      <c r="X161">
        <v>0.35</v>
      </c>
      <c r="Y161">
        <f t="shared" si="11"/>
        <v>56</v>
      </c>
      <c r="Z161">
        <f t="shared" si="12"/>
        <v>121.877</v>
      </c>
      <c r="AA161">
        <f t="shared" si="13"/>
        <v>65.876999999999995</v>
      </c>
      <c r="AB161">
        <f t="shared" si="14"/>
        <v>1278.0137999999997</v>
      </c>
    </row>
    <row r="162" spans="1:28" ht="25.5" x14ac:dyDescent="0.25">
      <c r="A162" s="7">
        <v>161</v>
      </c>
      <c r="B162" s="7" t="s">
        <v>15</v>
      </c>
      <c r="C162" s="7" t="s">
        <v>98</v>
      </c>
      <c r="D162" s="7" t="s">
        <v>258</v>
      </c>
      <c r="E162" s="7"/>
      <c r="F162" s="8"/>
      <c r="G162" s="7" t="s">
        <v>258</v>
      </c>
      <c r="H162" s="9">
        <v>34.752465000000001</v>
      </c>
      <c r="I162" s="9">
        <v>10.48321</v>
      </c>
      <c r="J162" s="7" t="s">
        <v>100</v>
      </c>
      <c r="K162" s="7" t="s">
        <v>37</v>
      </c>
      <c r="L162" s="7"/>
      <c r="M162" s="10">
        <v>4.7699999999999996</v>
      </c>
      <c r="N162" s="7" t="s">
        <v>38</v>
      </c>
      <c r="O162" s="7"/>
      <c r="P162" s="8" t="s">
        <v>39</v>
      </c>
      <c r="Q162">
        <v>2.4300000000000002</v>
      </c>
      <c r="R162">
        <v>38.200000000000003</v>
      </c>
      <c r="S162" t="s">
        <v>40</v>
      </c>
      <c r="T162">
        <v>18</v>
      </c>
      <c r="U162">
        <f t="shared" si="10"/>
        <v>43.74</v>
      </c>
      <c r="V162">
        <v>0.6</v>
      </c>
      <c r="W162">
        <v>120</v>
      </c>
      <c r="X162">
        <v>0.35</v>
      </c>
      <c r="Y162">
        <f t="shared" si="11"/>
        <v>42</v>
      </c>
      <c r="Z162">
        <f t="shared" si="12"/>
        <v>26.244</v>
      </c>
      <c r="AA162">
        <f t="shared" si="13"/>
        <v>0</v>
      </c>
      <c r="AB162">
        <f t="shared" si="14"/>
        <v>0</v>
      </c>
    </row>
    <row r="163" spans="1:28" ht="25.5" x14ac:dyDescent="0.25">
      <c r="A163" s="7">
        <v>162</v>
      </c>
      <c r="B163" s="7" t="s">
        <v>15</v>
      </c>
      <c r="C163" s="7" t="s">
        <v>101</v>
      </c>
      <c r="D163" s="7" t="s">
        <v>259</v>
      </c>
      <c r="E163" s="7"/>
      <c r="F163" s="8"/>
      <c r="G163" s="7" t="s">
        <v>259</v>
      </c>
      <c r="H163" s="9">
        <v>34.934339999999999</v>
      </c>
      <c r="I163" s="9">
        <v>9.7610740000000007</v>
      </c>
      <c r="J163" s="7" t="s">
        <v>103</v>
      </c>
      <c r="K163" s="7" t="s">
        <v>37</v>
      </c>
      <c r="L163" s="7"/>
      <c r="M163" s="10">
        <v>18.84</v>
      </c>
      <c r="N163" s="7" t="s">
        <v>44</v>
      </c>
      <c r="O163" s="7"/>
      <c r="P163" s="8" t="s">
        <v>39</v>
      </c>
      <c r="Q163">
        <v>5.67</v>
      </c>
      <c r="R163">
        <v>32.9</v>
      </c>
      <c r="S163" t="s">
        <v>58</v>
      </c>
      <c r="T163">
        <v>18</v>
      </c>
      <c r="U163">
        <f t="shared" si="10"/>
        <v>102.06</v>
      </c>
      <c r="V163">
        <v>0.9</v>
      </c>
      <c r="W163">
        <v>120</v>
      </c>
      <c r="X163">
        <v>0.35</v>
      </c>
      <c r="Y163">
        <f t="shared" si="11"/>
        <v>42</v>
      </c>
      <c r="Z163">
        <f t="shared" si="12"/>
        <v>91.853999999999999</v>
      </c>
      <c r="AA163">
        <f t="shared" si="13"/>
        <v>49.853999999999999</v>
      </c>
      <c r="AB163">
        <f t="shared" si="14"/>
        <v>939.24936000000002</v>
      </c>
    </row>
    <row r="164" spans="1:28" ht="25.5" x14ac:dyDescent="0.25">
      <c r="A164" s="7">
        <v>163</v>
      </c>
      <c r="B164" s="7" t="s">
        <v>15</v>
      </c>
      <c r="C164" s="7" t="s">
        <v>104</v>
      </c>
      <c r="D164" s="7" t="s">
        <v>260</v>
      </c>
      <c r="E164" s="7"/>
      <c r="F164" s="8"/>
      <c r="G164" s="7" t="s">
        <v>260</v>
      </c>
      <c r="H164" s="9">
        <v>35.830489</v>
      </c>
      <c r="I164" s="9">
        <v>9.2027199999999993</v>
      </c>
      <c r="J164" s="7" t="s">
        <v>106</v>
      </c>
      <c r="K164" s="7" t="s">
        <v>37</v>
      </c>
      <c r="L164" s="7"/>
      <c r="M164" s="10">
        <v>24.26</v>
      </c>
      <c r="N164" s="7" t="s">
        <v>48</v>
      </c>
      <c r="O164" s="7"/>
      <c r="P164" s="8" t="s">
        <v>39</v>
      </c>
      <c r="Q164">
        <v>2.5</v>
      </c>
      <c r="R164">
        <v>34.6</v>
      </c>
      <c r="S164" t="s">
        <v>58</v>
      </c>
      <c r="T164">
        <v>16</v>
      </c>
      <c r="U164">
        <f t="shared" si="10"/>
        <v>40</v>
      </c>
      <c r="V164">
        <v>0.81</v>
      </c>
      <c r="W164">
        <v>0</v>
      </c>
      <c r="X164">
        <v>0</v>
      </c>
      <c r="Y164">
        <f t="shared" si="11"/>
        <v>0</v>
      </c>
      <c r="Z164">
        <f t="shared" si="12"/>
        <v>32.400000000000006</v>
      </c>
      <c r="AA164">
        <f t="shared" si="13"/>
        <v>32.400000000000006</v>
      </c>
      <c r="AB164">
        <f t="shared" si="14"/>
        <v>786.02400000000023</v>
      </c>
    </row>
    <row r="165" spans="1:28" ht="25.5" x14ac:dyDescent="0.25">
      <c r="A165" s="7">
        <v>164</v>
      </c>
      <c r="B165" s="7" t="s">
        <v>15</v>
      </c>
      <c r="C165" s="7" t="s">
        <v>107</v>
      </c>
      <c r="D165" s="7" t="s">
        <v>261</v>
      </c>
      <c r="E165" s="7"/>
      <c r="F165" s="8"/>
      <c r="G165" s="7" t="s">
        <v>261</v>
      </c>
      <c r="H165" s="9">
        <v>36.122895999999997</v>
      </c>
      <c r="I165" s="9">
        <v>10.379735999999999</v>
      </c>
      <c r="J165" s="7" t="s">
        <v>109</v>
      </c>
      <c r="K165" s="7" t="s">
        <v>37</v>
      </c>
      <c r="L165" s="7"/>
      <c r="M165" s="10">
        <v>12.03</v>
      </c>
      <c r="N165" s="7" t="s">
        <v>52</v>
      </c>
      <c r="O165" s="7"/>
      <c r="P165" s="8" t="s">
        <v>39</v>
      </c>
      <c r="Q165">
        <v>4.05</v>
      </c>
      <c r="R165">
        <v>40.700000000000003</v>
      </c>
      <c r="S165" t="s">
        <v>40</v>
      </c>
      <c r="T165">
        <v>12</v>
      </c>
      <c r="U165">
        <f t="shared" si="10"/>
        <v>48.599999999999994</v>
      </c>
      <c r="V165">
        <v>0.66</v>
      </c>
      <c r="W165">
        <v>80</v>
      </c>
      <c r="X165">
        <v>0.35</v>
      </c>
      <c r="Y165">
        <f t="shared" si="11"/>
        <v>28</v>
      </c>
      <c r="Z165">
        <f t="shared" si="12"/>
        <v>32.076000000000001</v>
      </c>
      <c r="AA165">
        <f t="shared" si="13"/>
        <v>4.0760000000000005</v>
      </c>
      <c r="AB165">
        <f t="shared" si="14"/>
        <v>49.034280000000003</v>
      </c>
    </row>
    <row r="166" spans="1:28" ht="25.5" x14ac:dyDescent="0.25">
      <c r="A166" s="7">
        <v>165</v>
      </c>
      <c r="B166" s="7" t="s">
        <v>15</v>
      </c>
      <c r="C166" s="7" t="s">
        <v>110</v>
      </c>
      <c r="D166" s="7" t="s">
        <v>262</v>
      </c>
      <c r="E166" s="7"/>
      <c r="F166" s="8"/>
      <c r="G166" s="7" t="s">
        <v>262</v>
      </c>
      <c r="H166" s="9">
        <v>33.14284</v>
      </c>
      <c r="I166" s="9">
        <v>10.215915000000001</v>
      </c>
      <c r="J166" s="7" t="s">
        <v>112</v>
      </c>
      <c r="K166" s="7" t="s">
        <v>37</v>
      </c>
      <c r="L166" s="7"/>
      <c r="M166" s="10">
        <v>12.51</v>
      </c>
      <c r="N166" s="7" t="s">
        <v>57</v>
      </c>
      <c r="O166" s="7"/>
      <c r="P166" s="8" t="s">
        <v>39</v>
      </c>
      <c r="Q166">
        <v>7.5</v>
      </c>
      <c r="R166">
        <v>24.8</v>
      </c>
      <c r="S166" t="s">
        <v>53</v>
      </c>
      <c r="T166">
        <v>8</v>
      </c>
      <c r="U166">
        <f t="shared" si="10"/>
        <v>60</v>
      </c>
      <c r="V166">
        <v>1.38</v>
      </c>
      <c r="W166">
        <v>0</v>
      </c>
      <c r="X166">
        <v>0</v>
      </c>
      <c r="Y166">
        <f t="shared" si="11"/>
        <v>0</v>
      </c>
      <c r="Z166">
        <f t="shared" si="12"/>
        <v>82.8</v>
      </c>
      <c r="AA166">
        <f t="shared" si="13"/>
        <v>82.8</v>
      </c>
      <c r="AB166">
        <f t="shared" si="14"/>
        <v>1035.828</v>
      </c>
    </row>
    <row r="167" spans="1:28" ht="25.5" x14ac:dyDescent="0.25">
      <c r="A167" s="7">
        <v>166</v>
      </c>
      <c r="B167" s="7" t="s">
        <v>15</v>
      </c>
      <c r="C167" s="7" t="s">
        <v>113</v>
      </c>
      <c r="D167" s="7" t="s">
        <v>263</v>
      </c>
      <c r="E167" s="7"/>
      <c r="F167" s="8"/>
      <c r="G167" s="7" t="s">
        <v>263</v>
      </c>
      <c r="H167" s="9">
        <v>33.885342999999999</v>
      </c>
      <c r="I167" s="9">
        <v>7.854203</v>
      </c>
      <c r="J167" s="7" t="s">
        <v>115</v>
      </c>
      <c r="K167" s="7" t="s">
        <v>37</v>
      </c>
      <c r="L167" s="7"/>
      <c r="M167" s="10">
        <v>17.45</v>
      </c>
      <c r="N167" s="7" t="s">
        <v>62</v>
      </c>
      <c r="O167" s="7"/>
      <c r="P167" s="8" t="s">
        <v>39</v>
      </c>
      <c r="Q167">
        <v>2.13</v>
      </c>
      <c r="R167">
        <v>35.200000000000003</v>
      </c>
      <c r="S167" t="s">
        <v>40</v>
      </c>
      <c r="T167">
        <v>7</v>
      </c>
      <c r="U167">
        <f t="shared" si="10"/>
        <v>14.91</v>
      </c>
      <c r="V167">
        <v>0.66</v>
      </c>
      <c r="W167">
        <v>50</v>
      </c>
      <c r="X167">
        <v>0.35</v>
      </c>
      <c r="Y167">
        <f t="shared" si="11"/>
        <v>17.5</v>
      </c>
      <c r="Z167">
        <f t="shared" si="12"/>
        <v>9.8406000000000002</v>
      </c>
      <c r="AA167">
        <f t="shared" si="13"/>
        <v>0</v>
      </c>
      <c r="AB167">
        <f t="shared" si="14"/>
        <v>0</v>
      </c>
    </row>
    <row r="168" spans="1:28" ht="25.5" x14ac:dyDescent="0.25">
      <c r="A168" s="7">
        <v>167</v>
      </c>
      <c r="B168" s="7" t="s">
        <v>15</v>
      </c>
      <c r="C168" s="7" t="s">
        <v>116</v>
      </c>
      <c r="D168" s="7" t="s">
        <v>264</v>
      </c>
      <c r="E168" s="7"/>
      <c r="F168" s="8"/>
      <c r="G168" s="7" t="s">
        <v>264</v>
      </c>
      <c r="H168" s="9">
        <v>36.835417</v>
      </c>
      <c r="I168" s="9">
        <v>10.335107000000001</v>
      </c>
      <c r="J168" s="7" t="s">
        <v>118</v>
      </c>
      <c r="K168" s="7" t="s">
        <v>37</v>
      </c>
      <c r="L168" s="7"/>
      <c r="M168" s="10">
        <v>3.05</v>
      </c>
      <c r="N168" s="7" t="s">
        <v>66</v>
      </c>
      <c r="O168" s="7"/>
      <c r="P168" s="8" t="s">
        <v>39</v>
      </c>
      <c r="Q168">
        <v>7.45</v>
      </c>
      <c r="R168">
        <v>37.299999999999997</v>
      </c>
      <c r="S168" t="s">
        <v>40</v>
      </c>
      <c r="T168">
        <v>10</v>
      </c>
      <c r="U168">
        <f t="shared" si="10"/>
        <v>74.5</v>
      </c>
      <c r="V168">
        <v>0.48</v>
      </c>
      <c r="W168">
        <v>160</v>
      </c>
      <c r="X168">
        <v>0.35</v>
      </c>
      <c r="Y168">
        <f t="shared" si="11"/>
        <v>56</v>
      </c>
      <c r="Z168">
        <f t="shared" si="12"/>
        <v>35.76</v>
      </c>
      <c r="AA168">
        <f t="shared" si="13"/>
        <v>0</v>
      </c>
      <c r="AB168">
        <f t="shared" si="14"/>
        <v>0</v>
      </c>
    </row>
    <row r="169" spans="1:28" ht="25.5" x14ac:dyDescent="0.25">
      <c r="A169" s="7">
        <v>168</v>
      </c>
      <c r="B169" s="7" t="s">
        <v>15</v>
      </c>
      <c r="C169" s="7" t="s">
        <v>119</v>
      </c>
      <c r="D169" s="7" t="s">
        <v>265</v>
      </c>
      <c r="E169" s="7"/>
      <c r="F169" s="8"/>
      <c r="G169" s="7" t="s">
        <v>265</v>
      </c>
      <c r="H169" s="9">
        <v>36.362633000000002</v>
      </c>
      <c r="I169" s="9">
        <v>9.6280450000000002</v>
      </c>
      <c r="J169" s="7" t="s">
        <v>121</v>
      </c>
      <c r="K169" s="7" t="s">
        <v>37</v>
      </c>
      <c r="L169" s="7"/>
      <c r="M169" s="10">
        <v>18.71</v>
      </c>
      <c r="N169" s="7" t="s">
        <v>70</v>
      </c>
      <c r="O169" s="7"/>
      <c r="P169" s="8" t="s">
        <v>39</v>
      </c>
      <c r="Q169">
        <v>3.87</v>
      </c>
      <c r="R169">
        <v>17.8</v>
      </c>
      <c r="S169" t="s">
        <v>53</v>
      </c>
      <c r="T169">
        <v>9</v>
      </c>
      <c r="U169">
        <f t="shared" si="10"/>
        <v>34.83</v>
      </c>
      <c r="V169">
        <v>1.03</v>
      </c>
      <c r="W169">
        <v>0</v>
      </c>
      <c r="X169">
        <v>0</v>
      </c>
      <c r="Y169">
        <f t="shared" si="11"/>
        <v>0</v>
      </c>
      <c r="Z169">
        <f t="shared" si="12"/>
        <v>35.874899999999997</v>
      </c>
      <c r="AA169">
        <f t="shared" si="13"/>
        <v>35.874899999999997</v>
      </c>
      <c r="AB169">
        <f t="shared" si="14"/>
        <v>671.219379</v>
      </c>
    </row>
    <row r="170" spans="1:28" ht="25.5" x14ac:dyDescent="0.25">
      <c r="A170" s="7">
        <v>169</v>
      </c>
      <c r="B170" s="7" t="s">
        <v>15</v>
      </c>
      <c r="C170" s="7" t="s">
        <v>34</v>
      </c>
      <c r="D170" s="7" t="s">
        <v>266</v>
      </c>
      <c r="E170" s="7"/>
      <c r="F170" s="8"/>
      <c r="G170" s="7" t="s">
        <v>266</v>
      </c>
      <c r="H170" s="9">
        <v>36.879367000000002</v>
      </c>
      <c r="I170" s="9">
        <v>10.241602</v>
      </c>
      <c r="J170" s="7" t="s">
        <v>36</v>
      </c>
      <c r="K170" s="7" t="s">
        <v>37</v>
      </c>
      <c r="L170" s="7"/>
      <c r="M170" s="10">
        <v>4.24</v>
      </c>
      <c r="N170" s="7" t="s">
        <v>74</v>
      </c>
      <c r="O170" s="7"/>
      <c r="P170" s="8" t="s">
        <v>39</v>
      </c>
      <c r="Q170">
        <v>3.75</v>
      </c>
      <c r="R170">
        <v>38.200000000000003</v>
      </c>
      <c r="S170" t="s">
        <v>40</v>
      </c>
      <c r="T170">
        <v>10</v>
      </c>
      <c r="U170">
        <f t="shared" si="10"/>
        <v>37.5</v>
      </c>
      <c r="V170">
        <v>0.54</v>
      </c>
      <c r="W170">
        <v>0</v>
      </c>
      <c r="X170">
        <v>0</v>
      </c>
      <c r="Y170">
        <f t="shared" si="11"/>
        <v>0</v>
      </c>
      <c r="Z170">
        <f t="shared" si="12"/>
        <v>20.25</v>
      </c>
      <c r="AA170">
        <f t="shared" si="13"/>
        <v>20.25</v>
      </c>
      <c r="AB170">
        <f t="shared" si="14"/>
        <v>85.86</v>
      </c>
    </row>
    <row r="171" spans="1:28" ht="25.5" x14ac:dyDescent="0.25">
      <c r="A171" s="7">
        <v>170</v>
      </c>
      <c r="B171" s="7" t="s">
        <v>15</v>
      </c>
      <c r="C171" s="7" t="s">
        <v>41</v>
      </c>
      <c r="D171" s="7" t="s">
        <v>267</v>
      </c>
      <c r="E171" s="7"/>
      <c r="F171" s="8"/>
      <c r="G171" s="7" t="s">
        <v>267</v>
      </c>
      <c r="H171" s="9">
        <v>36.674239</v>
      </c>
      <c r="I171" s="9">
        <v>9.6324149999999999</v>
      </c>
      <c r="J171" s="7" t="s">
        <v>43</v>
      </c>
      <c r="K171" s="7" t="s">
        <v>37</v>
      </c>
      <c r="L171" s="7"/>
      <c r="M171" s="10">
        <v>10.51</v>
      </c>
      <c r="N171" s="7" t="s">
        <v>78</v>
      </c>
      <c r="O171" s="7"/>
      <c r="P171" s="8" t="s">
        <v>39</v>
      </c>
      <c r="Q171">
        <v>2.0699999999999998</v>
      </c>
      <c r="R171">
        <v>34.6</v>
      </c>
      <c r="S171" t="s">
        <v>58</v>
      </c>
      <c r="T171">
        <v>14</v>
      </c>
      <c r="U171">
        <f t="shared" si="10"/>
        <v>28.979999999999997</v>
      </c>
      <c r="V171">
        <v>0.9</v>
      </c>
      <c r="W171">
        <v>50</v>
      </c>
      <c r="X171">
        <v>0.35</v>
      </c>
      <c r="Y171">
        <f t="shared" si="11"/>
        <v>17.5</v>
      </c>
      <c r="Z171">
        <f t="shared" si="12"/>
        <v>26.081999999999997</v>
      </c>
      <c r="AA171">
        <f t="shared" si="13"/>
        <v>8.5819999999999972</v>
      </c>
      <c r="AB171">
        <f t="shared" si="14"/>
        <v>90.196819999999974</v>
      </c>
    </row>
    <row r="172" spans="1:28" ht="25.5" x14ac:dyDescent="0.25">
      <c r="A172" s="7">
        <v>171</v>
      </c>
      <c r="B172" s="7" t="s">
        <v>15</v>
      </c>
      <c r="C172" s="7" t="s">
        <v>45</v>
      </c>
      <c r="D172" s="7" t="s">
        <v>268</v>
      </c>
      <c r="E172" s="7"/>
      <c r="F172" s="8"/>
      <c r="G172" s="7" t="s">
        <v>268</v>
      </c>
      <c r="H172" s="9">
        <v>36.634065999999997</v>
      </c>
      <c r="I172" s="9">
        <v>10.32316</v>
      </c>
      <c r="J172" s="7" t="s">
        <v>47</v>
      </c>
      <c r="K172" s="7" t="s">
        <v>37</v>
      </c>
      <c r="L172" s="7"/>
      <c r="M172" s="10">
        <v>17.84</v>
      </c>
      <c r="N172" s="7" t="s">
        <v>38</v>
      </c>
      <c r="O172" s="7"/>
      <c r="P172" s="8" t="s">
        <v>39</v>
      </c>
      <c r="Q172">
        <v>7.43</v>
      </c>
      <c r="R172">
        <v>25.1</v>
      </c>
      <c r="S172" t="s">
        <v>58</v>
      </c>
      <c r="T172">
        <v>18</v>
      </c>
      <c r="U172">
        <f t="shared" si="10"/>
        <v>133.74</v>
      </c>
      <c r="V172">
        <v>0.9</v>
      </c>
      <c r="W172">
        <v>80</v>
      </c>
      <c r="X172">
        <v>0.35</v>
      </c>
      <c r="Y172">
        <f t="shared" si="11"/>
        <v>28</v>
      </c>
      <c r="Z172">
        <f t="shared" si="12"/>
        <v>120.36600000000001</v>
      </c>
      <c r="AA172">
        <f t="shared" si="13"/>
        <v>92.366000000000014</v>
      </c>
      <c r="AB172">
        <f t="shared" si="14"/>
        <v>1647.8094400000002</v>
      </c>
    </row>
    <row r="173" spans="1:28" ht="25.5" x14ac:dyDescent="0.25">
      <c r="A173" s="7">
        <v>172</v>
      </c>
      <c r="B173" s="7" t="s">
        <v>15</v>
      </c>
      <c r="C173" s="7" t="s">
        <v>49</v>
      </c>
      <c r="D173" s="7" t="s">
        <v>269</v>
      </c>
      <c r="E173" s="7"/>
      <c r="F173" s="8"/>
      <c r="G173" s="7" t="s">
        <v>269</v>
      </c>
      <c r="H173" s="9">
        <v>37.167406999999997</v>
      </c>
      <c r="I173" s="9">
        <v>9.8064470000000004</v>
      </c>
      <c r="J173" s="7" t="s">
        <v>51</v>
      </c>
      <c r="K173" s="7" t="s">
        <v>37</v>
      </c>
      <c r="L173" s="7"/>
      <c r="M173" s="10">
        <v>1.85</v>
      </c>
      <c r="N173" s="7" t="s">
        <v>44</v>
      </c>
      <c r="O173" s="7"/>
      <c r="P173" s="8" t="s">
        <v>39</v>
      </c>
      <c r="Q173">
        <v>5.66</v>
      </c>
      <c r="R173">
        <v>36</v>
      </c>
      <c r="S173" t="s">
        <v>40</v>
      </c>
      <c r="T173">
        <v>18</v>
      </c>
      <c r="U173">
        <f t="shared" si="10"/>
        <v>101.88</v>
      </c>
      <c r="V173">
        <v>0.6</v>
      </c>
      <c r="W173">
        <v>50</v>
      </c>
      <c r="X173">
        <v>0.35</v>
      </c>
      <c r="Y173">
        <f t="shared" si="11"/>
        <v>17.5</v>
      </c>
      <c r="Z173">
        <f t="shared" si="12"/>
        <v>61.127999999999993</v>
      </c>
      <c r="AA173">
        <f t="shared" si="13"/>
        <v>43.627999999999993</v>
      </c>
      <c r="AB173">
        <f t="shared" si="14"/>
        <v>80.711799999999997</v>
      </c>
    </row>
    <row r="174" spans="1:28" ht="25.5" x14ac:dyDescent="0.25">
      <c r="A174" s="7">
        <v>173</v>
      </c>
      <c r="B174" s="7" t="s">
        <v>15</v>
      </c>
      <c r="C174" s="7" t="s">
        <v>54</v>
      </c>
      <c r="D174" s="7" t="s">
        <v>270</v>
      </c>
      <c r="E174" s="7"/>
      <c r="F174" s="8"/>
      <c r="G174" s="7" t="s">
        <v>270</v>
      </c>
      <c r="H174" s="9">
        <v>33.616444999999999</v>
      </c>
      <c r="I174" s="9">
        <v>10.259814</v>
      </c>
      <c r="J174" s="7" t="s">
        <v>56</v>
      </c>
      <c r="K174" s="7" t="s">
        <v>37</v>
      </c>
      <c r="L174" s="7"/>
      <c r="M174" s="10">
        <v>14.36</v>
      </c>
      <c r="N174" s="7" t="s">
        <v>48</v>
      </c>
      <c r="O174" s="7"/>
      <c r="P174" s="8" t="s">
        <v>39</v>
      </c>
      <c r="Q174">
        <v>4.6500000000000004</v>
      </c>
      <c r="R174">
        <v>32</v>
      </c>
      <c r="S174" t="s">
        <v>58</v>
      </c>
      <c r="T174">
        <v>16</v>
      </c>
      <c r="U174">
        <f t="shared" si="10"/>
        <v>74.400000000000006</v>
      </c>
      <c r="V174">
        <v>0.81</v>
      </c>
      <c r="W174">
        <v>50</v>
      </c>
      <c r="X174">
        <v>0.35</v>
      </c>
      <c r="Y174">
        <f t="shared" si="11"/>
        <v>17.5</v>
      </c>
      <c r="Z174">
        <f t="shared" si="12"/>
        <v>60.26400000000001</v>
      </c>
      <c r="AA174">
        <f t="shared" si="13"/>
        <v>42.76400000000001</v>
      </c>
      <c r="AB174">
        <f t="shared" si="14"/>
        <v>614.09104000000013</v>
      </c>
    </row>
    <row r="175" spans="1:28" ht="25.5" x14ac:dyDescent="0.25">
      <c r="A175" s="7">
        <v>174</v>
      </c>
      <c r="B175" s="7" t="s">
        <v>15</v>
      </c>
      <c r="C175" s="7" t="s">
        <v>59</v>
      </c>
      <c r="D175" s="7" t="s">
        <v>271</v>
      </c>
      <c r="E175" s="7"/>
      <c r="F175" s="8"/>
      <c r="G175" s="7" t="s">
        <v>271</v>
      </c>
      <c r="H175" s="9">
        <v>34.320866000000002</v>
      </c>
      <c r="I175" s="9">
        <v>8.3935499999999994</v>
      </c>
      <c r="J175" s="7" t="s">
        <v>61</v>
      </c>
      <c r="K175" s="7" t="s">
        <v>37</v>
      </c>
      <c r="L175" s="7"/>
      <c r="M175" s="10">
        <v>20.03</v>
      </c>
      <c r="N175" s="7" t="s">
        <v>52</v>
      </c>
      <c r="O175" s="7"/>
      <c r="P175" s="8" t="s">
        <v>39</v>
      </c>
      <c r="Q175">
        <v>2.52</v>
      </c>
      <c r="R175">
        <v>26.8</v>
      </c>
      <c r="S175" t="s">
        <v>58</v>
      </c>
      <c r="T175">
        <v>12</v>
      </c>
      <c r="U175">
        <f t="shared" si="10"/>
        <v>30.240000000000002</v>
      </c>
      <c r="V175">
        <v>0.99</v>
      </c>
      <c r="W175">
        <v>0</v>
      </c>
      <c r="X175">
        <v>0</v>
      </c>
      <c r="Y175">
        <f t="shared" si="11"/>
        <v>0</v>
      </c>
      <c r="Z175">
        <f t="shared" si="12"/>
        <v>29.937600000000003</v>
      </c>
      <c r="AA175">
        <f t="shared" si="13"/>
        <v>29.937600000000003</v>
      </c>
      <c r="AB175">
        <f t="shared" si="14"/>
        <v>599.65012800000011</v>
      </c>
    </row>
    <row r="176" spans="1:28" ht="25.5" x14ac:dyDescent="0.25">
      <c r="A176" s="7">
        <v>175</v>
      </c>
      <c r="B176" s="7" t="s">
        <v>15</v>
      </c>
      <c r="C176" s="7" t="s">
        <v>63</v>
      </c>
      <c r="D176" s="7" t="s">
        <v>272</v>
      </c>
      <c r="E176" s="7"/>
      <c r="F176" s="8"/>
      <c r="G176" s="7" t="s">
        <v>272</v>
      </c>
      <c r="H176" s="9">
        <v>36.941806</v>
      </c>
      <c r="I176" s="9">
        <v>8.7292260000000006</v>
      </c>
      <c r="J176" s="7" t="s">
        <v>65</v>
      </c>
      <c r="K176" s="7" t="s">
        <v>37</v>
      </c>
      <c r="L176" s="7"/>
      <c r="M176" s="10">
        <v>9.61</v>
      </c>
      <c r="N176" s="7" t="s">
        <v>57</v>
      </c>
      <c r="O176" s="7"/>
      <c r="P176" s="8" t="s">
        <v>39</v>
      </c>
      <c r="Q176">
        <v>3.94</v>
      </c>
      <c r="R176">
        <v>40.5</v>
      </c>
      <c r="S176" t="s">
        <v>40</v>
      </c>
      <c r="T176">
        <v>8</v>
      </c>
      <c r="U176">
        <f t="shared" si="10"/>
        <v>31.52</v>
      </c>
      <c r="V176">
        <v>0.72</v>
      </c>
      <c r="W176">
        <v>80</v>
      </c>
      <c r="X176">
        <v>0.35</v>
      </c>
      <c r="Y176">
        <f t="shared" si="11"/>
        <v>28</v>
      </c>
      <c r="Z176">
        <f t="shared" si="12"/>
        <v>22.694399999999998</v>
      </c>
      <c r="AA176">
        <f t="shared" si="13"/>
        <v>0</v>
      </c>
      <c r="AB176">
        <f t="shared" si="14"/>
        <v>0</v>
      </c>
    </row>
    <row r="177" spans="1:28" ht="25.5" x14ac:dyDescent="0.25">
      <c r="A177" s="7">
        <v>176</v>
      </c>
      <c r="B177" s="7" t="s">
        <v>15</v>
      </c>
      <c r="C177" s="7" t="s">
        <v>67</v>
      </c>
      <c r="D177" s="7" t="s">
        <v>273</v>
      </c>
      <c r="E177" s="7"/>
      <c r="F177" s="8"/>
      <c r="G177" s="7" t="s">
        <v>273</v>
      </c>
      <c r="H177" s="9">
        <v>35.630826999999996</v>
      </c>
      <c r="I177" s="9">
        <v>9.9118080000000006</v>
      </c>
      <c r="J177" s="7" t="s">
        <v>69</v>
      </c>
      <c r="K177" s="7" t="s">
        <v>37</v>
      </c>
      <c r="L177" s="7"/>
      <c r="M177" s="10">
        <v>1.21</v>
      </c>
      <c r="N177" s="7" t="s">
        <v>62</v>
      </c>
      <c r="O177" s="7"/>
      <c r="P177" s="8" t="s">
        <v>39</v>
      </c>
      <c r="Q177">
        <v>6.98</v>
      </c>
      <c r="R177">
        <v>19</v>
      </c>
      <c r="S177" t="s">
        <v>53</v>
      </c>
      <c r="T177">
        <v>7</v>
      </c>
      <c r="U177">
        <f t="shared" si="10"/>
        <v>48.86</v>
      </c>
      <c r="V177">
        <v>1.26</v>
      </c>
      <c r="W177">
        <v>120</v>
      </c>
      <c r="X177">
        <v>0.35</v>
      </c>
      <c r="Y177">
        <f t="shared" si="11"/>
        <v>42</v>
      </c>
      <c r="Z177">
        <f t="shared" si="12"/>
        <v>61.563600000000001</v>
      </c>
      <c r="AA177">
        <f t="shared" si="13"/>
        <v>19.563600000000001</v>
      </c>
      <c r="AB177">
        <f t="shared" si="14"/>
        <v>23.671956000000002</v>
      </c>
    </row>
    <row r="178" spans="1:28" ht="25.5" x14ac:dyDescent="0.25">
      <c r="A178" s="7">
        <v>177</v>
      </c>
      <c r="B178" s="7" t="s">
        <v>15</v>
      </c>
      <c r="C178" s="7" t="s">
        <v>71</v>
      </c>
      <c r="D178" s="7" t="s">
        <v>274</v>
      </c>
      <c r="E178" s="7"/>
      <c r="F178" s="8"/>
      <c r="G178" s="7" t="s">
        <v>274</v>
      </c>
      <c r="H178" s="9">
        <v>35.249918000000001</v>
      </c>
      <c r="I178" s="9">
        <v>9.1204879999999999</v>
      </c>
      <c r="J178" s="7" t="s">
        <v>73</v>
      </c>
      <c r="K178" s="7" t="s">
        <v>37</v>
      </c>
      <c r="L178" s="7"/>
      <c r="M178" s="10">
        <v>24.29</v>
      </c>
      <c r="N178" s="7" t="s">
        <v>66</v>
      </c>
      <c r="O178" s="7"/>
      <c r="P178" s="8" t="s">
        <v>39</v>
      </c>
      <c r="Q178">
        <v>5.08</v>
      </c>
      <c r="R178">
        <v>15.7</v>
      </c>
      <c r="S178" t="s">
        <v>53</v>
      </c>
      <c r="T178">
        <v>10</v>
      </c>
      <c r="U178">
        <f t="shared" si="10"/>
        <v>50.8</v>
      </c>
      <c r="V178">
        <v>0.92</v>
      </c>
      <c r="W178">
        <v>120</v>
      </c>
      <c r="X178">
        <v>0.35</v>
      </c>
      <c r="Y178">
        <f t="shared" si="11"/>
        <v>42</v>
      </c>
      <c r="Z178">
        <f t="shared" si="12"/>
        <v>46.735999999999997</v>
      </c>
      <c r="AA178">
        <f t="shared" si="13"/>
        <v>4.7359999999999971</v>
      </c>
      <c r="AB178">
        <f t="shared" si="14"/>
        <v>115.03743999999993</v>
      </c>
    </row>
    <row r="179" spans="1:28" ht="25.5" x14ac:dyDescent="0.25">
      <c r="A179" s="7">
        <v>178</v>
      </c>
      <c r="B179" s="7" t="s">
        <v>15</v>
      </c>
      <c r="C179" s="7" t="s">
        <v>75</v>
      </c>
      <c r="D179" s="7" t="s">
        <v>275</v>
      </c>
      <c r="E179" s="7"/>
      <c r="F179" s="8"/>
      <c r="G179" s="7" t="s">
        <v>275</v>
      </c>
      <c r="H179" s="9">
        <v>33.462603000000001</v>
      </c>
      <c r="I179" s="9">
        <v>9.0215309999999995</v>
      </c>
      <c r="J179" s="7" t="s">
        <v>77</v>
      </c>
      <c r="K179" s="7" t="s">
        <v>37</v>
      </c>
      <c r="L179" s="7"/>
      <c r="M179" s="10">
        <v>20.190000000000001</v>
      </c>
      <c r="N179" s="7" t="s">
        <v>70</v>
      </c>
      <c r="O179" s="7"/>
      <c r="P179" s="8" t="s">
        <v>39</v>
      </c>
      <c r="Q179">
        <v>7.62</v>
      </c>
      <c r="R179">
        <v>33.1</v>
      </c>
      <c r="S179" t="s">
        <v>58</v>
      </c>
      <c r="T179">
        <v>9</v>
      </c>
      <c r="U179">
        <f t="shared" si="10"/>
        <v>68.58</v>
      </c>
      <c r="V179">
        <v>0.81</v>
      </c>
      <c r="W179">
        <v>120</v>
      </c>
      <c r="X179">
        <v>0.35</v>
      </c>
      <c r="Y179">
        <f t="shared" si="11"/>
        <v>42</v>
      </c>
      <c r="Z179">
        <f t="shared" si="12"/>
        <v>55.549800000000005</v>
      </c>
      <c r="AA179">
        <f t="shared" si="13"/>
        <v>13.549800000000005</v>
      </c>
      <c r="AB179">
        <f t="shared" si="14"/>
        <v>273.57046200000013</v>
      </c>
    </row>
    <row r="180" spans="1:28" ht="25.5" x14ac:dyDescent="0.25">
      <c r="A180" s="7">
        <v>179</v>
      </c>
      <c r="B180" s="7" t="s">
        <v>15</v>
      </c>
      <c r="C180" s="7" t="s">
        <v>79</v>
      </c>
      <c r="D180" s="7" t="s">
        <v>276</v>
      </c>
      <c r="E180" s="7"/>
      <c r="F180" s="8"/>
      <c r="G180" s="7" t="s">
        <v>276</v>
      </c>
      <c r="H180" s="9">
        <v>35.930261000000002</v>
      </c>
      <c r="I180" s="9">
        <v>8.8282340000000001</v>
      </c>
      <c r="J180" s="7" t="s">
        <v>81</v>
      </c>
      <c r="K180" s="7" t="s">
        <v>37</v>
      </c>
      <c r="L180" s="7"/>
      <c r="M180" s="10">
        <v>8.24</v>
      </c>
      <c r="N180" s="7" t="s">
        <v>74</v>
      </c>
      <c r="O180" s="7"/>
      <c r="P180" s="8" t="s">
        <v>39</v>
      </c>
      <c r="Q180">
        <v>4.45</v>
      </c>
      <c r="R180">
        <v>33.5</v>
      </c>
      <c r="S180" t="s">
        <v>58</v>
      </c>
      <c r="T180">
        <v>10</v>
      </c>
      <c r="U180">
        <f t="shared" si="10"/>
        <v>44.5</v>
      </c>
      <c r="V180">
        <v>0.81</v>
      </c>
      <c r="W180">
        <v>160</v>
      </c>
      <c r="X180">
        <v>0.35</v>
      </c>
      <c r="Y180">
        <f t="shared" si="11"/>
        <v>56</v>
      </c>
      <c r="Z180">
        <f t="shared" si="12"/>
        <v>36.045000000000002</v>
      </c>
      <c r="AA180">
        <f t="shared" si="13"/>
        <v>0</v>
      </c>
      <c r="AB180">
        <f t="shared" si="14"/>
        <v>0</v>
      </c>
    </row>
    <row r="181" spans="1:28" ht="25.5" x14ac:dyDescent="0.25">
      <c r="A181" s="7">
        <v>180</v>
      </c>
      <c r="B181" s="7" t="s">
        <v>15</v>
      </c>
      <c r="C181" s="7" t="s">
        <v>82</v>
      </c>
      <c r="D181" s="7" t="s">
        <v>277</v>
      </c>
      <c r="E181" s="7"/>
      <c r="F181" s="8"/>
      <c r="G181" s="7" t="s">
        <v>277</v>
      </c>
      <c r="H181" s="9">
        <v>35.235052000000003</v>
      </c>
      <c r="I181" s="9">
        <v>11.135244999999999</v>
      </c>
      <c r="J181" s="7" t="s">
        <v>84</v>
      </c>
      <c r="K181" s="7" t="s">
        <v>37</v>
      </c>
      <c r="L181" s="7"/>
      <c r="M181" s="10">
        <v>1.75</v>
      </c>
      <c r="N181" s="7" t="s">
        <v>78</v>
      </c>
      <c r="O181" s="7"/>
      <c r="P181" s="8" t="s">
        <v>39</v>
      </c>
      <c r="Q181">
        <v>6.04</v>
      </c>
      <c r="R181">
        <v>27</v>
      </c>
      <c r="S181" t="s">
        <v>58</v>
      </c>
      <c r="T181">
        <v>14</v>
      </c>
      <c r="U181">
        <f t="shared" si="10"/>
        <v>84.56</v>
      </c>
      <c r="V181">
        <v>0.9</v>
      </c>
      <c r="W181">
        <v>120</v>
      </c>
      <c r="X181">
        <v>0.35</v>
      </c>
      <c r="Y181">
        <f t="shared" si="11"/>
        <v>42</v>
      </c>
      <c r="Z181">
        <f t="shared" si="12"/>
        <v>76.103999999999999</v>
      </c>
      <c r="AA181">
        <f t="shared" si="13"/>
        <v>34.103999999999999</v>
      </c>
      <c r="AB181">
        <f t="shared" si="14"/>
        <v>59.682000000000002</v>
      </c>
    </row>
    <row r="182" spans="1:28" ht="25.5" x14ac:dyDescent="0.25">
      <c r="A182" s="7">
        <v>181</v>
      </c>
      <c r="B182" s="7" t="s">
        <v>15</v>
      </c>
      <c r="C182" s="7" t="s">
        <v>85</v>
      </c>
      <c r="D182" s="7" t="s">
        <v>278</v>
      </c>
      <c r="E182" s="7"/>
      <c r="F182" s="8"/>
      <c r="G182" s="7" t="s">
        <v>278</v>
      </c>
      <c r="H182" s="9">
        <v>36.819222000000003</v>
      </c>
      <c r="I182" s="9">
        <v>9.8479480000000006</v>
      </c>
      <c r="J182" s="7" t="s">
        <v>87</v>
      </c>
      <c r="K182" s="7" t="s">
        <v>37</v>
      </c>
      <c r="L182" s="7"/>
      <c r="M182" s="10">
        <v>2.44</v>
      </c>
      <c r="N182" s="7" t="s">
        <v>38</v>
      </c>
      <c r="O182" s="7"/>
      <c r="P182" s="8" t="s">
        <v>39</v>
      </c>
      <c r="Q182">
        <v>6.41</v>
      </c>
      <c r="R182">
        <v>36.1</v>
      </c>
      <c r="S182" t="s">
        <v>40</v>
      </c>
      <c r="T182">
        <v>18</v>
      </c>
      <c r="U182">
        <f t="shared" si="10"/>
        <v>115.38</v>
      </c>
      <c r="V182">
        <v>0.6</v>
      </c>
      <c r="W182">
        <v>0</v>
      </c>
      <c r="X182">
        <v>0</v>
      </c>
      <c r="Y182">
        <f t="shared" si="11"/>
        <v>0</v>
      </c>
      <c r="Z182">
        <f t="shared" si="12"/>
        <v>69.227999999999994</v>
      </c>
      <c r="AA182">
        <f t="shared" si="13"/>
        <v>69.227999999999994</v>
      </c>
      <c r="AB182">
        <f t="shared" si="14"/>
        <v>168.91631999999998</v>
      </c>
    </row>
    <row r="183" spans="1:28" ht="25.5" x14ac:dyDescent="0.25">
      <c r="A183" s="7">
        <v>182</v>
      </c>
      <c r="B183" s="7" t="s">
        <v>15</v>
      </c>
      <c r="C183" s="7" t="s">
        <v>88</v>
      </c>
      <c r="D183" s="7" t="s">
        <v>279</v>
      </c>
      <c r="E183" s="7"/>
      <c r="F183" s="8"/>
      <c r="G183" s="7" t="s">
        <v>279</v>
      </c>
      <c r="H183" s="9">
        <v>33.786624000000003</v>
      </c>
      <c r="I183" s="9">
        <v>10.97758</v>
      </c>
      <c r="J183" s="7" t="s">
        <v>90</v>
      </c>
      <c r="K183" s="7" t="s">
        <v>37</v>
      </c>
      <c r="L183" s="7"/>
      <c r="M183" s="10">
        <v>22.97</v>
      </c>
      <c r="N183" s="7" t="s">
        <v>44</v>
      </c>
      <c r="O183" s="7"/>
      <c r="P183" s="8" t="s">
        <v>39</v>
      </c>
      <c r="Q183">
        <v>3.19</v>
      </c>
      <c r="R183">
        <v>22.2</v>
      </c>
      <c r="S183" t="s">
        <v>53</v>
      </c>
      <c r="T183">
        <v>18</v>
      </c>
      <c r="U183">
        <f t="shared" si="10"/>
        <v>57.42</v>
      </c>
      <c r="V183">
        <v>1.1499999999999999</v>
      </c>
      <c r="W183">
        <v>160</v>
      </c>
      <c r="X183">
        <v>0.35</v>
      </c>
      <c r="Y183">
        <f t="shared" si="11"/>
        <v>56</v>
      </c>
      <c r="Z183">
        <f t="shared" si="12"/>
        <v>66.033000000000001</v>
      </c>
      <c r="AA183">
        <f t="shared" si="13"/>
        <v>10.033000000000001</v>
      </c>
      <c r="AB183">
        <f t="shared" si="14"/>
        <v>230.45801000000003</v>
      </c>
    </row>
    <row r="184" spans="1:28" ht="25.5" x14ac:dyDescent="0.25">
      <c r="A184" s="7">
        <v>183</v>
      </c>
      <c r="B184" s="7" t="s">
        <v>15</v>
      </c>
      <c r="C184" s="7" t="s">
        <v>92</v>
      </c>
      <c r="D184" s="7" t="s">
        <v>280</v>
      </c>
      <c r="E184" s="7"/>
      <c r="F184" s="8"/>
      <c r="G184" s="7" t="s">
        <v>280</v>
      </c>
      <c r="H184" s="9">
        <v>35.638390000000001</v>
      </c>
      <c r="I184" s="9">
        <v>10.755485</v>
      </c>
      <c r="J184" s="7" t="s">
        <v>94</v>
      </c>
      <c r="K184" s="7" t="s">
        <v>37</v>
      </c>
      <c r="L184" s="7"/>
      <c r="M184" s="10">
        <v>18.41</v>
      </c>
      <c r="N184" s="7" t="s">
        <v>48</v>
      </c>
      <c r="O184" s="7"/>
      <c r="P184" s="8" t="s">
        <v>39</v>
      </c>
      <c r="Q184">
        <v>1.93</v>
      </c>
      <c r="R184">
        <v>13.7</v>
      </c>
      <c r="S184" t="s">
        <v>91</v>
      </c>
      <c r="T184">
        <v>16</v>
      </c>
      <c r="U184">
        <f t="shared" si="10"/>
        <v>30.88</v>
      </c>
      <c r="V184">
        <v>1.22</v>
      </c>
      <c r="W184">
        <v>0</v>
      </c>
      <c r="X184">
        <v>0</v>
      </c>
      <c r="Y184">
        <f t="shared" si="11"/>
        <v>0</v>
      </c>
      <c r="Z184">
        <f t="shared" si="12"/>
        <v>37.6736</v>
      </c>
      <c r="AA184">
        <f t="shared" si="13"/>
        <v>37.6736</v>
      </c>
      <c r="AB184">
        <f t="shared" si="14"/>
        <v>693.57097599999997</v>
      </c>
    </row>
    <row r="185" spans="1:28" ht="25.5" x14ac:dyDescent="0.25">
      <c r="A185" s="7">
        <v>184</v>
      </c>
      <c r="B185" s="7" t="s">
        <v>15</v>
      </c>
      <c r="C185" s="7" t="s">
        <v>95</v>
      </c>
      <c r="D185" s="7" t="s">
        <v>281</v>
      </c>
      <c r="E185" s="7"/>
      <c r="F185" s="8"/>
      <c r="G185" s="7" t="s">
        <v>281</v>
      </c>
      <c r="H185" s="9">
        <v>36.585915999999997</v>
      </c>
      <c r="I185" s="9">
        <v>10.858216000000001</v>
      </c>
      <c r="J185" s="7" t="s">
        <v>97</v>
      </c>
      <c r="K185" s="7" t="s">
        <v>37</v>
      </c>
      <c r="L185" s="7"/>
      <c r="M185" s="10">
        <v>17.95</v>
      </c>
      <c r="N185" s="7" t="s">
        <v>52</v>
      </c>
      <c r="O185" s="7"/>
      <c r="P185" s="8" t="s">
        <v>39</v>
      </c>
      <c r="Q185">
        <v>3.96</v>
      </c>
      <c r="R185">
        <v>21.3</v>
      </c>
      <c r="S185" t="s">
        <v>53</v>
      </c>
      <c r="T185">
        <v>12</v>
      </c>
      <c r="U185">
        <f t="shared" si="10"/>
        <v>47.519999999999996</v>
      </c>
      <c r="V185">
        <v>1.26</v>
      </c>
      <c r="W185">
        <v>0</v>
      </c>
      <c r="X185">
        <v>0</v>
      </c>
      <c r="Y185">
        <f t="shared" si="11"/>
        <v>0</v>
      </c>
      <c r="Z185">
        <f t="shared" si="12"/>
        <v>59.875199999999992</v>
      </c>
      <c r="AA185">
        <f t="shared" si="13"/>
        <v>59.875199999999992</v>
      </c>
      <c r="AB185">
        <f t="shared" si="14"/>
        <v>1074.7598399999997</v>
      </c>
    </row>
    <row r="186" spans="1:28" ht="25.5" x14ac:dyDescent="0.25">
      <c r="A186" s="7">
        <v>185</v>
      </c>
      <c r="B186" s="7" t="s">
        <v>15</v>
      </c>
      <c r="C186" s="7" t="s">
        <v>98</v>
      </c>
      <c r="D186" s="7" t="s">
        <v>282</v>
      </c>
      <c r="E186" s="7"/>
      <c r="F186" s="8"/>
      <c r="G186" s="7" t="s">
        <v>282</v>
      </c>
      <c r="H186" s="9">
        <v>34.765368000000002</v>
      </c>
      <c r="I186" s="9">
        <v>10.47949</v>
      </c>
      <c r="J186" s="7" t="s">
        <v>100</v>
      </c>
      <c r="K186" s="7" t="s">
        <v>37</v>
      </c>
      <c r="L186" s="7"/>
      <c r="M186" s="10">
        <v>17.02</v>
      </c>
      <c r="N186" s="7" t="s">
        <v>57</v>
      </c>
      <c r="O186" s="7"/>
      <c r="P186" s="8" t="s">
        <v>39</v>
      </c>
      <c r="Q186">
        <v>7.8</v>
      </c>
      <c r="R186">
        <v>40.700000000000003</v>
      </c>
      <c r="S186" t="s">
        <v>40</v>
      </c>
      <c r="T186">
        <v>8</v>
      </c>
      <c r="U186">
        <f t="shared" si="10"/>
        <v>62.4</v>
      </c>
      <c r="V186">
        <v>0.72</v>
      </c>
      <c r="W186">
        <v>0</v>
      </c>
      <c r="X186">
        <v>0</v>
      </c>
      <c r="Y186">
        <f t="shared" si="11"/>
        <v>0</v>
      </c>
      <c r="Z186">
        <f t="shared" si="12"/>
        <v>44.927999999999997</v>
      </c>
      <c r="AA186">
        <f t="shared" si="13"/>
        <v>44.927999999999997</v>
      </c>
      <c r="AB186">
        <f t="shared" si="14"/>
        <v>764.67455999999993</v>
      </c>
    </row>
    <row r="187" spans="1:28" ht="25.5" x14ac:dyDescent="0.25">
      <c r="A187" s="7">
        <v>186</v>
      </c>
      <c r="B187" s="7" t="s">
        <v>15</v>
      </c>
      <c r="C187" s="7" t="s">
        <v>101</v>
      </c>
      <c r="D187" s="7" t="s">
        <v>283</v>
      </c>
      <c r="E187" s="7"/>
      <c r="F187" s="8"/>
      <c r="G187" s="7" t="s">
        <v>283</v>
      </c>
      <c r="H187" s="9">
        <v>34.916246000000001</v>
      </c>
      <c r="I187" s="9">
        <v>9.7676339999999993</v>
      </c>
      <c r="J187" s="7" t="s">
        <v>103</v>
      </c>
      <c r="K187" s="7" t="s">
        <v>37</v>
      </c>
      <c r="L187" s="7"/>
      <c r="M187" s="10">
        <v>3.9</v>
      </c>
      <c r="N187" s="7" t="s">
        <v>62</v>
      </c>
      <c r="O187" s="7"/>
      <c r="P187" s="8" t="s">
        <v>39</v>
      </c>
      <c r="Q187">
        <v>7.88</v>
      </c>
      <c r="R187">
        <v>37</v>
      </c>
      <c r="S187" t="s">
        <v>40</v>
      </c>
      <c r="T187">
        <v>7</v>
      </c>
      <c r="U187">
        <f t="shared" si="10"/>
        <v>55.16</v>
      </c>
      <c r="V187">
        <v>0.66</v>
      </c>
      <c r="W187">
        <v>80</v>
      </c>
      <c r="X187">
        <v>0.35</v>
      </c>
      <c r="Y187">
        <f t="shared" si="11"/>
        <v>28</v>
      </c>
      <c r="Z187">
        <f t="shared" si="12"/>
        <v>36.4056</v>
      </c>
      <c r="AA187">
        <f t="shared" si="13"/>
        <v>8.4055999999999997</v>
      </c>
      <c r="AB187">
        <f t="shared" si="14"/>
        <v>32.781839999999995</v>
      </c>
    </row>
    <row r="188" spans="1:28" ht="25.5" x14ac:dyDescent="0.25">
      <c r="A188" s="7">
        <v>187</v>
      </c>
      <c r="B188" s="7" t="s">
        <v>15</v>
      </c>
      <c r="C188" s="7" t="s">
        <v>104</v>
      </c>
      <c r="D188" s="7" t="s">
        <v>284</v>
      </c>
      <c r="E188" s="7"/>
      <c r="F188" s="8"/>
      <c r="G188" s="7" t="s">
        <v>284</v>
      </c>
      <c r="H188" s="9">
        <v>35.867494999999998</v>
      </c>
      <c r="I188" s="9">
        <v>9.1946300000000001</v>
      </c>
      <c r="J188" s="7" t="s">
        <v>106</v>
      </c>
      <c r="K188" s="7" t="s">
        <v>37</v>
      </c>
      <c r="L188" s="7"/>
      <c r="M188" s="10">
        <v>3.48</v>
      </c>
      <c r="N188" s="7" t="s">
        <v>66</v>
      </c>
      <c r="O188" s="7"/>
      <c r="P188" s="8" t="s">
        <v>39</v>
      </c>
      <c r="Q188">
        <v>4.68</v>
      </c>
      <c r="R188">
        <v>25.5</v>
      </c>
      <c r="S188" t="s">
        <v>58</v>
      </c>
      <c r="T188">
        <v>10</v>
      </c>
      <c r="U188">
        <f t="shared" si="10"/>
        <v>46.8</v>
      </c>
      <c r="V188">
        <v>0.72</v>
      </c>
      <c r="W188">
        <v>120</v>
      </c>
      <c r="X188">
        <v>0.35</v>
      </c>
      <c r="Y188">
        <f t="shared" si="11"/>
        <v>42</v>
      </c>
      <c r="Z188">
        <f t="shared" si="12"/>
        <v>33.695999999999998</v>
      </c>
      <c r="AA188">
        <f t="shared" si="13"/>
        <v>0</v>
      </c>
      <c r="AB188">
        <f t="shared" si="14"/>
        <v>0</v>
      </c>
    </row>
    <row r="189" spans="1:28" ht="25.5" x14ac:dyDescent="0.25">
      <c r="A189" s="7">
        <v>188</v>
      </c>
      <c r="B189" s="7" t="s">
        <v>15</v>
      </c>
      <c r="C189" s="7" t="s">
        <v>107</v>
      </c>
      <c r="D189" s="7" t="s">
        <v>285</v>
      </c>
      <c r="E189" s="7"/>
      <c r="F189" s="8"/>
      <c r="G189" s="7" t="s">
        <v>285</v>
      </c>
      <c r="H189" s="9">
        <v>36.108671999999999</v>
      </c>
      <c r="I189" s="9">
        <v>10.389516</v>
      </c>
      <c r="J189" s="7" t="s">
        <v>109</v>
      </c>
      <c r="K189" s="7" t="s">
        <v>37</v>
      </c>
      <c r="L189" s="7"/>
      <c r="M189" s="10">
        <v>4.6100000000000003</v>
      </c>
      <c r="N189" s="7" t="s">
        <v>70</v>
      </c>
      <c r="O189" s="7"/>
      <c r="P189" s="8" t="s">
        <v>39</v>
      </c>
      <c r="Q189">
        <v>2.4700000000000002</v>
      </c>
      <c r="R189">
        <v>14.2</v>
      </c>
      <c r="S189" t="s">
        <v>91</v>
      </c>
      <c r="T189">
        <v>9</v>
      </c>
      <c r="U189">
        <f t="shared" si="10"/>
        <v>22.23</v>
      </c>
      <c r="V189">
        <v>1.22</v>
      </c>
      <c r="W189">
        <v>0</v>
      </c>
      <c r="X189">
        <v>0</v>
      </c>
      <c r="Y189">
        <f t="shared" si="11"/>
        <v>0</v>
      </c>
      <c r="Z189">
        <f t="shared" si="12"/>
        <v>27.1206</v>
      </c>
      <c r="AA189">
        <f t="shared" si="13"/>
        <v>27.1206</v>
      </c>
      <c r="AB189">
        <f t="shared" si="14"/>
        <v>125.02596600000001</v>
      </c>
    </row>
    <row r="190" spans="1:28" ht="25.5" x14ac:dyDescent="0.25">
      <c r="A190" s="7">
        <v>189</v>
      </c>
      <c r="B190" s="7" t="s">
        <v>15</v>
      </c>
      <c r="C190" s="7" t="s">
        <v>110</v>
      </c>
      <c r="D190" s="7" t="s">
        <v>286</v>
      </c>
      <c r="E190" s="7"/>
      <c r="F190" s="8"/>
      <c r="G190" s="7" t="s">
        <v>286</v>
      </c>
      <c r="H190" s="9">
        <v>33.142153</v>
      </c>
      <c r="I190" s="9">
        <v>10.248889999999999</v>
      </c>
      <c r="J190" s="7" t="s">
        <v>112</v>
      </c>
      <c r="K190" s="7" t="s">
        <v>37</v>
      </c>
      <c r="L190" s="7"/>
      <c r="M190" s="10">
        <v>13.89</v>
      </c>
      <c r="N190" s="7" t="s">
        <v>74</v>
      </c>
      <c r="O190" s="7"/>
      <c r="P190" s="8" t="s">
        <v>39</v>
      </c>
      <c r="Q190">
        <v>2.46</v>
      </c>
      <c r="R190">
        <v>25.6</v>
      </c>
      <c r="S190" t="s">
        <v>58</v>
      </c>
      <c r="T190">
        <v>10</v>
      </c>
      <c r="U190">
        <f t="shared" si="10"/>
        <v>24.6</v>
      </c>
      <c r="V190">
        <v>0.81</v>
      </c>
      <c r="W190">
        <v>160</v>
      </c>
      <c r="X190">
        <v>0.35</v>
      </c>
      <c r="Y190">
        <f t="shared" si="11"/>
        <v>56</v>
      </c>
      <c r="Z190">
        <f t="shared" si="12"/>
        <v>19.926000000000002</v>
      </c>
      <c r="AA190">
        <f t="shared" si="13"/>
        <v>0</v>
      </c>
      <c r="AB190">
        <f t="shared" si="14"/>
        <v>0</v>
      </c>
    </row>
    <row r="191" spans="1:28" ht="25.5" x14ac:dyDescent="0.25">
      <c r="A191" s="7">
        <v>190</v>
      </c>
      <c r="B191" s="7" t="s">
        <v>15</v>
      </c>
      <c r="C191" s="7" t="s">
        <v>113</v>
      </c>
      <c r="D191" s="7" t="s">
        <v>287</v>
      </c>
      <c r="E191" s="7"/>
      <c r="F191" s="8"/>
      <c r="G191" s="7" t="s">
        <v>287</v>
      </c>
      <c r="H191" s="9">
        <v>33.886498000000003</v>
      </c>
      <c r="I191" s="9">
        <v>7.8590970000000002</v>
      </c>
      <c r="J191" s="7" t="s">
        <v>115</v>
      </c>
      <c r="K191" s="7" t="s">
        <v>37</v>
      </c>
      <c r="L191" s="7"/>
      <c r="M191" s="10">
        <v>12.39</v>
      </c>
      <c r="N191" s="7" t="s">
        <v>78</v>
      </c>
      <c r="O191" s="7"/>
      <c r="P191" s="8" t="s">
        <v>39</v>
      </c>
      <c r="Q191">
        <v>3.28</v>
      </c>
      <c r="R191">
        <v>13.9</v>
      </c>
      <c r="S191" t="s">
        <v>91</v>
      </c>
      <c r="T191">
        <v>14</v>
      </c>
      <c r="U191">
        <f t="shared" si="10"/>
        <v>45.919999999999995</v>
      </c>
      <c r="V191">
        <v>1.35</v>
      </c>
      <c r="W191">
        <v>0</v>
      </c>
      <c r="X191">
        <v>0</v>
      </c>
      <c r="Y191">
        <f t="shared" si="11"/>
        <v>0</v>
      </c>
      <c r="Z191">
        <f t="shared" si="12"/>
        <v>61.991999999999997</v>
      </c>
      <c r="AA191">
        <f t="shared" si="13"/>
        <v>61.991999999999997</v>
      </c>
      <c r="AB191">
        <f t="shared" si="14"/>
        <v>768.08087999999998</v>
      </c>
    </row>
    <row r="192" spans="1:28" ht="25.5" x14ac:dyDescent="0.25">
      <c r="A192" s="7">
        <v>191</v>
      </c>
      <c r="B192" s="7" t="s">
        <v>15</v>
      </c>
      <c r="C192" s="7" t="s">
        <v>116</v>
      </c>
      <c r="D192" s="7" t="s">
        <v>288</v>
      </c>
      <c r="E192" s="7"/>
      <c r="F192" s="8"/>
      <c r="G192" s="7" t="s">
        <v>288</v>
      </c>
      <c r="H192" s="9">
        <v>36.858823000000001</v>
      </c>
      <c r="I192" s="9">
        <v>10.341976000000001</v>
      </c>
      <c r="J192" s="7" t="s">
        <v>118</v>
      </c>
      <c r="K192" s="7" t="s">
        <v>37</v>
      </c>
      <c r="L192" s="7"/>
      <c r="M192" s="10">
        <v>18.89</v>
      </c>
      <c r="N192" s="7" t="s">
        <v>38</v>
      </c>
      <c r="O192" s="7"/>
      <c r="P192" s="8" t="s">
        <v>39</v>
      </c>
      <c r="Q192">
        <v>6.45</v>
      </c>
      <c r="R192">
        <v>16.8</v>
      </c>
      <c r="S192" t="s">
        <v>53</v>
      </c>
      <c r="T192">
        <v>18</v>
      </c>
      <c r="U192">
        <f t="shared" si="10"/>
        <v>116.10000000000001</v>
      </c>
      <c r="V192">
        <v>1.1499999999999999</v>
      </c>
      <c r="W192">
        <v>0</v>
      </c>
      <c r="X192">
        <v>0</v>
      </c>
      <c r="Y192">
        <f t="shared" si="11"/>
        <v>0</v>
      </c>
      <c r="Z192">
        <f t="shared" si="12"/>
        <v>133.51499999999999</v>
      </c>
      <c r="AA192">
        <f t="shared" si="13"/>
        <v>133.51499999999999</v>
      </c>
      <c r="AB192">
        <f t="shared" si="14"/>
        <v>2522.0983499999998</v>
      </c>
    </row>
    <row r="193" spans="1:28" ht="25.5" x14ac:dyDescent="0.25">
      <c r="A193" s="7">
        <v>192</v>
      </c>
      <c r="B193" s="7" t="s">
        <v>15</v>
      </c>
      <c r="C193" s="7" t="s">
        <v>119</v>
      </c>
      <c r="D193" s="7" t="s">
        <v>289</v>
      </c>
      <c r="E193" s="7"/>
      <c r="F193" s="8"/>
      <c r="G193" s="7" t="s">
        <v>289</v>
      </c>
      <c r="H193" s="9">
        <v>36.375357999999999</v>
      </c>
      <c r="I193" s="9">
        <v>9.6160429999999995</v>
      </c>
      <c r="J193" s="7" t="s">
        <v>121</v>
      </c>
      <c r="K193" s="7" t="s">
        <v>37</v>
      </c>
      <c r="L193" s="7"/>
      <c r="M193" s="10">
        <v>8.75</v>
      </c>
      <c r="N193" s="7" t="s">
        <v>44</v>
      </c>
      <c r="O193" s="7"/>
      <c r="P193" s="8" t="s">
        <v>39</v>
      </c>
      <c r="Q193">
        <v>3.82</v>
      </c>
      <c r="R193">
        <v>34</v>
      </c>
      <c r="S193" t="s">
        <v>58</v>
      </c>
      <c r="T193">
        <v>18</v>
      </c>
      <c r="U193">
        <f t="shared" si="10"/>
        <v>68.759999999999991</v>
      </c>
      <c r="V193">
        <v>0.9</v>
      </c>
      <c r="W193">
        <v>50</v>
      </c>
      <c r="X193">
        <v>0.35</v>
      </c>
      <c r="Y193">
        <f t="shared" si="11"/>
        <v>17.5</v>
      </c>
      <c r="Z193">
        <f t="shared" si="12"/>
        <v>61.883999999999993</v>
      </c>
      <c r="AA193">
        <f t="shared" si="13"/>
        <v>44.383999999999993</v>
      </c>
      <c r="AB193">
        <f t="shared" si="14"/>
        <v>388.35999999999996</v>
      </c>
    </row>
    <row r="194" spans="1:28" ht="25.5" x14ac:dyDescent="0.25">
      <c r="A194" s="7">
        <v>193</v>
      </c>
      <c r="B194" s="7" t="s">
        <v>15</v>
      </c>
      <c r="C194" s="7" t="s">
        <v>34</v>
      </c>
      <c r="D194" s="7" t="s">
        <v>290</v>
      </c>
      <c r="E194" s="7"/>
      <c r="F194" s="8"/>
      <c r="G194" s="7" t="s">
        <v>290</v>
      </c>
      <c r="H194" s="9">
        <v>36.894781000000002</v>
      </c>
      <c r="I194" s="9">
        <v>10.198570999999999</v>
      </c>
      <c r="J194" s="7" t="s">
        <v>36</v>
      </c>
      <c r="K194" s="7" t="s">
        <v>37</v>
      </c>
      <c r="L194" s="7"/>
      <c r="M194" s="10">
        <v>1.34</v>
      </c>
      <c r="N194" s="7" t="s">
        <v>48</v>
      </c>
      <c r="O194" s="7"/>
      <c r="P194" s="8" t="s">
        <v>39</v>
      </c>
      <c r="Q194">
        <v>2.99</v>
      </c>
      <c r="R194">
        <v>32.4</v>
      </c>
      <c r="S194" t="s">
        <v>58</v>
      </c>
      <c r="T194">
        <v>16</v>
      </c>
      <c r="U194">
        <f t="shared" ref="U194:U257" si="15">Q194*T194</f>
        <v>47.84</v>
      </c>
      <c r="V194">
        <v>0.81</v>
      </c>
      <c r="W194">
        <v>0</v>
      </c>
      <c r="X194">
        <v>0</v>
      </c>
      <c r="Y194">
        <f t="shared" ref="Y194:Y257" si="16">W194*X194</f>
        <v>0</v>
      </c>
      <c r="Z194">
        <f t="shared" ref="Z194:Z257" si="17">U194*V194</f>
        <v>38.750400000000006</v>
      </c>
      <c r="AA194">
        <f t="shared" ref="AA194:AA257" si="18">MAX(0,Z194-Y194)</f>
        <v>38.750400000000006</v>
      </c>
      <c r="AB194">
        <f t="shared" si="14"/>
        <v>51.925536000000008</v>
      </c>
    </row>
    <row r="195" spans="1:28" ht="25.5" x14ac:dyDescent="0.25">
      <c r="A195" s="7">
        <v>194</v>
      </c>
      <c r="B195" s="7" t="s">
        <v>15</v>
      </c>
      <c r="C195" s="7" t="s">
        <v>41</v>
      </c>
      <c r="D195" s="7" t="s">
        <v>291</v>
      </c>
      <c r="E195" s="7"/>
      <c r="F195" s="8"/>
      <c r="G195" s="7" t="s">
        <v>291</v>
      </c>
      <c r="H195" s="9">
        <v>36.668449000000003</v>
      </c>
      <c r="I195" s="9">
        <v>9.6274409999999992</v>
      </c>
      <c r="J195" s="7" t="s">
        <v>43</v>
      </c>
      <c r="K195" s="7" t="s">
        <v>37</v>
      </c>
      <c r="L195" s="7"/>
      <c r="M195" s="10">
        <v>1.98</v>
      </c>
      <c r="N195" s="7" t="s">
        <v>52</v>
      </c>
      <c r="O195" s="7"/>
      <c r="P195" s="8" t="s">
        <v>39</v>
      </c>
      <c r="Q195">
        <v>6.95</v>
      </c>
      <c r="R195">
        <v>28.7</v>
      </c>
      <c r="S195" t="s">
        <v>58</v>
      </c>
      <c r="T195">
        <v>12</v>
      </c>
      <c r="U195">
        <f t="shared" si="15"/>
        <v>83.4</v>
      </c>
      <c r="V195">
        <v>0.99</v>
      </c>
      <c r="W195">
        <v>0</v>
      </c>
      <c r="X195">
        <v>0</v>
      </c>
      <c r="Y195">
        <f t="shared" si="16"/>
        <v>0</v>
      </c>
      <c r="Z195">
        <f t="shared" si="17"/>
        <v>82.566000000000003</v>
      </c>
      <c r="AA195">
        <f t="shared" si="18"/>
        <v>82.566000000000003</v>
      </c>
      <c r="AB195">
        <f t="shared" ref="AB195:AB258" si="19">AA195*M195</f>
        <v>163.48068000000001</v>
      </c>
    </row>
    <row r="196" spans="1:28" ht="25.5" x14ac:dyDescent="0.25">
      <c r="A196" s="7">
        <v>195</v>
      </c>
      <c r="B196" s="7" t="s">
        <v>15</v>
      </c>
      <c r="C196" s="7" t="s">
        <v>45</v>
      </c>
      <c r="D196" s="7" t="s">
        <v>292</v>
      </c>
      <c r="E196" s="7"/>
      <c r="F196" s="8"/>
      <c r="G196" s="7" t="s">
        <v>292</v>
      </c>
      <c r="H196" s="9">
        <v>36.639837</v>
      </c>
      <c r="I196" s="9">
        <v>10.333655</v>
      </c>
      <c r="J196" s="7" t="s">
        <v>47</v>
      </c>
      <c r="K196" s="7" t="s">
        <v>37</v>
      </c>
      <c r="L196" s="7"/>
      <c r="M196" s="10">
        <v>2.2000000000000002</v>
      </c>
      <c r="N196" s="7" t="s">
        <v>57</v>
      </c>
      <c r="O196" s="7"/>
      <c r="P196" s="8" t="s">
        <v>39</v>
      </c>
      <c r="Q196">
        <v>6.11</v>
      </c>
      <c r="R196">
        <v>13.8</v>
      </c>
      <c r="S196" t="s">
        <v>91</v>
      </c>
      <c r="T196">
        <v>8</v>
      </c>
      <c r="U196">
        <f t="shared" si="15"/>
        <v>48.88</v>
      </c>
      <c r="V196">
        <v>1.6</v>
      </c>
      <c r="W196">
        <v>0</v>
      </c>
      <c r="X196">
        <v>0</v>
      </c>
      <c r="Y196">
        <f t="shared" si="16"/>
        <v>0</v>
      </c>
      <c r="Z196">
        <f t="shared" si="17"/>
        <v>78.208000000000013</v>
      </c>
      <c r="AA196">
        <f t="shared" si="18"/>
        <v>78.208000000000013</v>
      </c>
      <c r="AB196">
        <f t="shared" si="19"/>
        <v>172.05760000000004</v>
      </c>
    </row>
    <row r="197" spans="1:28" ht="25.5" x14ac:dyDescent="0.25">
      <c r="A197" s="7">
        <v>196</v>
      </c>
      <c r="B197" s="7" t="s">
        <v>15</v>
      </c>
      <c r="C197" s="7" t="s">
        <v>49</v>
      </c>
      <c r="D197" s="7" t="s">
        <v>293</v>
      </c>
      <c r="E197" s="7"/>
      <c r="F197" s="8"/>
      <c r="G197" s="7" t="s">
        <v>293</v>
      </c>
      <c r="H197" s="9">
        <v>37.131144999999997</v>
      </c>
      <c r="I197" s="9">
        <v>9.8060939999999999</v>
      </c>
      <c r="J197" s="7" t="s">
        <v>51</v>
      </c>
      <c r="K197" s="7" t="s">
        <v>37</v>
      </c>
      <c r="L197" s="7"/>
      <c r="M197" s="10">
        <v>23.48</v>
      </c>
      <c r="N197" s="7" t="s">
        <v>62</v>
      </c>
      <c r="O197" s="7"/>
      <c r="P197" s="8" t="s">
        <v>39</v>
      </c>
      <c r="Q197">
        <v>3.5</v>
      </c>
      <c r="R197">
        <v>13</v>
      </c>
      <c r="S197" t="s">
        <v>91</v>
      </c>
      <c r="T197">
        <v>7</v>
      </c>
      <c r="U197">
        <f t="shared" si="15"/>
        <v>24.5</v>
      </c>
      <c r="V197">
        <v>1.49</v>
      </c>
      <c r="W197">
        <v>0</v>
      </c>
      <c r="X197">
        <v>0</v>
      </c>
      <c r="Y197">
        <f t="shared" si="16"/>
        <v>0</v>
      </c>
      <c r="Z197">
        <f t="shared" si="17"/>
        <v>36.505000000000003</v>
      </c>
      <c r="AA197">
        <f t="shared" si="18"/>
        <v>36.505000000000003</v>
      </c>
      <c r="AB197">
        <f t="shared" si="19"/>
        <v>857.13740000000007</v>
      </c>
    </row>
    <row r="198" spans="1:28" ht="25.5" x14ac:dyDescent="0.25">
      <c r="A198" s="7">
        <v>197</v>
      </c>
      <c r="B198" s="7" t="s">
        <v>15</v>
      </c>
      <c r="C198" s="7" t="s">
        <v>54</v>
      </c>
      <c r="D198" s="7" t="s">
        <v>294</v>
      </c>
      <c r="E198" s="7"/>
      <c r="F198" s="8"/>
      <c r="G198" s="7" t="s">
        <v>294</v>
      </c>
      <c r="H198" s="9">
        <v>33.612769999999998</v>
      </c>
      <c r="I198" s="9">
        <v>10.279973999999999</v>
      </c>
      <c r="J198" s="7" t="s">
        <v>56</v>
      </c>
      <c r="K198" s="7" t="s">
        <v>37</v>
      </c>
      <c r="L198" s="7"/>
      <c r="M198" s="10">
        <v>13.27</v>
      </c>
      <c r="N198" s="7" t="s">
        <v>66</v>
      </c>
      <c r="O198" s="7"/>
      <c r="P198" s="8" t="s">
        <v>39</v>
      </c>
      <c r="Q198">
        <v>7.67</v>
      </c>
      <c r="R198">
        <v>37.1</v>
      </c>
      <c r="S198" t="s">
        <v>40</v>
      </c>
      <c r="T198">
        <v>10</v>
      </c>
      <c r="U198">
        <f t="shared" si="15"/>
        <v>76.7</v>
      </c>
      <c r="V198">
        <v>0.48</v>
      </c>
      <c r="W198">
        <v>0</v>
      </c>
      <c r="X198">
        <v>0</v>
      </c>
      <c r="Y198">
        <f t="shared" si="16"/>
        <v>0</v>
      </c>
      <c r="Z198">
        <f t="shared" si="17"/>
        <v>36.816000000000003</v>
      </c>
      <c r="AA198">
        <f t="shared" si="18"/>
        <v>36.816000000000003</v>
      </c>
      <c r="AB198">
        <f t="shared" si="19"/>
        <v>488.54831999999999</v>
      </c>
    </row>
    <row r="199" spans="1:28" ht="25.5" x14ac:dyDescent="0.25">
      <c r="A199" s="7">
        <v>198</v>
      </c>
      <c r="B199" s="7" t="s">
        <v>15</v>
      </c>
      <c r="C199" s="7" t="s">
        <v>59</v>
      </c>
      <c r="D199" s="7" t="s">
        <v>295</v>
      </c>
      <c r="E199" s="7"/>
      <c r="F199" s="8"/>
      <c r="G199" s="7" t="s">
        <v>295</v>
      </c>
      <c r="H199" s="9">
        <v>34.322020999999999</v>
      </c>
      <c r="I199" s="9">
        <v>8.3803979999999996</v>
      </c>
      <c r="J199" s="7" t="s">
        <v>61</v>
      </c>
      <c r="K199" s="7" t="s">
        <v>37</v>
      </c>
      <c r="L199" s="7"/>
      <c r="M199" s="10">
        <v>8.7799999999999994</v>
      </c>
      <c r="N199" s="7" t="s">
        <v>70</v>
      </c>
      <c r="O199" s="7"/>
      <c r="P199" s="8" t="s">
        <v>39</v>
      </c>
      <c r="Q199">
        <v>7.59</v>
      </c>
      <c r="R199">
        <v>34.6</v>
      </c>
      <c r="S199" t="s">
        <v>58</v>
      </c>
      <c r="T199">
        <v>9</v>
      </c>
      <c r="U199">
        <f t="shared" si="15"/>
        <v>68.31</v>
      </c>
      <c r="V199">
        <v>0.81</v>
      </c>
      <c r="W199">
        <v>80</v>
      </c>
      <c r="X199">
        <v>0.35</v>
      </c>
      <c r="Y199">
        <f t="shared" si="16"/>
        <v>28</v>
      </c>
      <c r="Z199">
        <f t="shared" si="17"/>
        <v>55.331100000000006</v>
      </c>
      <c r="AA199">
        <f t="shared" si="18"/>
        <v>27.331100000000006</v>
      </c>
      <c r="AB199">
        <f t="shared" si="19"/>
        <v>239.96705800000004</v>
      </c>
    </row>
    <row r="200" spans="1:28" ht="25.5" x14ac:dyDescent="0.25">
      <c r="A200" s="7">
        <v>199</v>
      </c>
      <c r="B200" s="7" t="s">
        <v>15</v>
      </c>
      <c r="C200" s="7" t="s">
        <v>63</v>
      </c>
      <c r="D200" s="7" t="s">
        <v>296</v>
      </c>
      <c r="E200" s="7"/>
      <c r="F200" s="8"/>
      <c r="G200" s="7" t="s">
        <v>296</v>
      </c>
      <c r="H200" s="9">
        <v>36.955516000000003</v>
      </c>
      <c r="I200" s="9">
        <v>8.7634030000000003</v>
      </c>
      <c r="J200" s="7" t="s">
        <v>65</v>
      </c>
      <c r="K200" s="7" t="s">
        <v>37</v>
      </c>
      <c r="L200" s="7"/>
      <c r="M200" s="10">
        <v>20.46</v>
      </c>
      <c r="N200" s="7" t="s">
        <v>74</v>
      </c>
      <c r="O200" s="7"/>
      <c r="P200" s="8" t="s">
        <v>39</v>
      </c>
      <c r="Q200">
        <v>6.48</v>
      </c>
      <c r="R200">
        <v>14.2</v>
      </c>
      <c r="S200" t="s">
        <v>91</v>
      </c>
      <c r="T200">
        <v>10</v>
      </c>
      <c r="U200">
        <f t="shared" si="15"/>
        <v>64.800000000000011</v>
      </c>
      <c r="V200">
        <v>1.22</v>
      </c>
      <c r="W200">
        <v>80</v>
      </c>
      <c r="X200">
        <v>0.35</v>
      </c>
      <c r="Y200">
        <f t="shared" si="16"/>
        <v>28</v>
      </c>
      <c r="Z200">
        <f t="shared" si="17"/>
        <v>79.056000000000012</v>
      </c>
      <c r="AA200">
        <f t="shared" si="18"/>
        <v>51.056000000000012</v>
      </c>
      <c r="AB200">
        <f t="shared" si="19"/>
        <v>1044.6057600000004</v>
      </c>
    </row>
    <row r="201" spans="1:28" ht="25.5" x14ac:dyDescent="0.25">
      <c r="A201" s="7">
        <v>200</v>
      </c>
      <c r="B201" s="7" t="s">
        <v>15</v>
      </c>
      <c r="C201" s="7" t="s">
        <v>67</v>
      </c>
      <c r="D201" s="7" t="s">
        <v>297</v>
      </c>
      <c r="E201" s="7"/>
      <c r="F201" s="8"/>
      <c r="G201" s="7" t="s">
        <v>297</v>
      </c>
      <c r="H201" s="9">
        <v>35.61871</v>
      </c>
      <c r="I201" s="9">
        <v>9.9260649999999995</v>
      </c>
      <c r="J201" s="7" t="s">
        <v>69</v>
      </c>
      <c r="K201" s="7" t="s">
        <v>37</v>
      </c>
      <c r="L201" s="7"/>
      <c r="M201" s="10">
        <v>0.53</v>
      </c>
      <c r="N201" s="7" t="s">
        <v>78</v>
      </c>
      <c r="O201" s="7"/>
      <c r="P201" s="8" t="s">
        <v>39</v>
      </c>
      <c r="Q201">
        <v>1.97</v>
      </c>
      <c r="R201">
        <v>37.6</v>
      </c>
      <c r="S201" t="s">
        <v>40</v>
      </c>
      <c r="T201">
        <v>14</v>
      </c>
      <c r="U201">
        <f t="shared" si="15"/>
        <v>27.58</v>
      </c>
      <c r="V201">
        <v>0.6</v>
      </c>
      <c r="W201">
        <v>0</v>
      </c>
      <c r="X201">
        <v>0</v>
      </c>
      <c r="Y201">
        <f t="shared" si="16"/>
        <v>0</v>
      </c>
      <c r="Z201">
        <f t="shared" si="17"/>
        <v>16.547999999999998</v>
      </c>
      <c r="AA201">
        <f t="shared" si="18"/>
        <v>16.547999999999998</v>
      </c>
      <c r="AB201">
        <f t="shared" si="19"/>
        <v>8.7704399999999989</v>
      </c>
    </row>
    <row r="202" spans="1:28" ht="25.5" x14ac:dyDescent="0.25">
      <c r="A202" s="7">
        <v>201</v>
      </c>
      <c r="B202" s="7" t="s">
        <v>15</v>
      </c>
      <c r="C202" s="7" t="s">
        <v>71</v>
      </c>
      <c r="D202" s="7" t="s">
        <v>298</v>
      </c>
      <c r="E202" s="7"/>
      <c r="F202" s="8"/>
      <c r="G202" s="7" t="s">
        <v>298</v>
      </c>
      <c r="H202" s="9">
        <v>35.216538999999997</v>
      </c>
      <c r="I202" s="9">
        <v>9.1244809999999994</v>
      </c>
      <c r="J202" s="7" t="s">
        <v>73</v>
      </c>
      <c r="K202" s="7" t="s">
        <v>37</v>
      </c>
      <c r="L202" s="7"/>
      <c r="M202" s="10">
        <v>20.309999999999999</v>
      </c>
      <c r="N202" s="7" t="s">
        <v>38</v>
      </c>
      <c r="O202" s="7"/>
      <c r="P202" s="8" t="s">
        <v>39</v>
      </c>
      <c r="Q202">
        <v>3.04</v>
      </c>
      <c r="R202">
        <v>10.9</v>
      </c>
      <c r="S202" t="s">
        <v>91</v>
      </c>
      <c r="T202">
        <v>18</v>
      </c>
      <c r="U202">
        <f t="shared" si="15"/>
        <v>54.72</v>
      </c>
      <c r="V202">
        <v>1.35</v>
      </c>
      <c r="W202">
        <v>0</v>
      </c>
      <c r="X202">
        <v>0</v>
      </c>
      <c r="Y202">
        <f t="shared" si="16"/>
        <v>0</v>
      </c>
      <c r="Z202">
        <f t="shared" si="17"/>
        <v>73.872</v>
      </c>
      <c r="AA202">
        <f t="shared" si="18"/>
        <v>73.872</v>
      </c>
      <c r="AB202">
        <f t="shared" si="19"/>
        <v>1500.3403199999998</v>
      </c>
    </row>
    <row r="203" spans="1:28" ht="25.5" x14ac:dyDescent="0.25">
      <c r="A203" s="7">
        <v>202</v>
      </c>
      <c r="B203" s="7" t="s">
        <v>15</v>
      </c>
      <c r="C203" s="7" t="s">
        <v>75</v>
      </c>
      <c r="D203" s="7" t="s">
        <v>299</v>
      </c>
      <c r="E203" s="7"/>
      <c r="F203" s="8"/>
      <c r="G203" s="7" t="s">
        <v>299</v>
      </c>
      <c r="H203" s="9">
        <v>33.482399000000001</v>
      </c>
      <c r="I203" s="9">
        <v>9.0300469999999997</v>
      </c>
      <c r="J203" s="7" t="s">
        <v>77</v>
      </c>
      <c r="K203" s="7" t="s">
        <v>37</v>
      </c>
      <c r="L203" s="7"/>
      <c r="M203" s="10">
        <v>2.3199999999999998</v>
      </c>
      <c r="N203" s="7" t="s">
        <v>44</v>
      </c>
      <c r="O203" s="7"/>
      <c r="P203" s="8" t="s">
        <v>39</v>
      </c>
      <c r="Q203">
        <v>7.3</v>
      </c>
      <c r="R203">
        <v>24.4</v>
      </c>
      <c r="S203" t="s">
        <v>53</v>
      </c>
      <c r="T203">
        <v>18</v>
      </c>
      <c r="U203">
        <f t="shared" si="15"/>
        <v>131.4</v>
      </c>
      <c r="V203">
        <v>1.1499999999999999</v>
      </c>
      <c r="W203">
        <v>0</v>
      </c>
      <c r="X203">
        <v>0</v>
      </c>
      <c r="Y203">
        <f t="shared" si="16"/>
        <v>0</v>
      </c>
      <c r="Z203">
        <f t="shared" si="17"/>
        <v>151.10999999999999</v>
      </c>
      <c r="AA203">
        <f t="shared" si="18"/>
        <v>151.10999999999999</v>
      </c>
      <c r="AB203">
        <f t="shared" si="19"/>
        <v>350.57519999999994</v>
      </c>
    </row>
    <row r="204" spans="1:28" ht="25.5" x14ac:dyDescent="0.25">
      <c r="A204" s="7">
        <v>203</v>
      </c>
      <c r="B204" s="7" t="s">
        <v>15</v>
      </c>
      <c r="C204" s="7" t="s">
        <v>79</v>
      </c>
      <c r="D204" s="7" t="s">
        <v>300</v>
      </c>
      <c r="E204" s="7"/>
      <c r="F204" s="8"/>
      <c r="G204" s="7" t="s">
        <v>300</v>
      </c>
      <c r="H204" s="9">
        <v>35.945002000000002</v>
      </c>
      <c r="I204" s="9">
        <v>8.8163719999999994</v>
      </c>
      <c r="J204" s="7" t="s">
        <v>81</v>
      </c>
      <c r="K204" s="7" t="s">
        <v>37</v>
      </c>
      <c r="L204" s="7"/>
      <c r="M204" s="10">
        <v>12.95</v>
      </c>
      <c r="N204" s="7" t="s">
        <v>48</v>
      </c>
      <c r="O204" s="7"/>
      <c r="P204" s="8" t="s">
        <v>39</v>
      </c>
      <c r="Q204">
        <v>5.21</v>
      </c>
      <c r="R204">
        <v>25.1</v>
      </c>
      <c r="S204" t="s">
        <v>58</v>
      </c>
      <c r="T204">
        <v>16</v>
      </c>
      <c r="U204">
        <f t="shared" si="15"/>
        <v>83.36</v>
      </c>
      <c r="V204">
        <v>0.81</v>
      </c>
      <c r="W204">
        <v>0</v>
      </c>
      <c r="X204">
        <v>0</v>
      </c>
      <c r="Y204">
        <f t="shared" si="16"/>
        <v>0</v>
      </c>
      <c r="Z204">
        <f t="shared" si="17"/>
        <v>67.521600000000007</v>
      </c>
      <c r="AA204">
        <f t="shared" si="18"/>
        <v>67.521600000000007</v>
      </c>
      <c r="AB204">
        <f t="shared" si="19"/>
        <v>874.40472</v>
      </c>
    </row>
    <row r="205" spans="1:28" ht="25.5" x14ac:dyDescent="0.25">
      <c r="A205" s="7">
        <v>204</v>
      </c>
      <c r="B205" s="7" t="s">
        <v>15</v>
      </c>
      <c r="C205" s="7" t="s">
        <v>82</v>
      </c>
      <c r="D205" s="7" t="s">
        <v>301</v>
      </c>
      <c r="E205" s="7"/>
      <c r="F205" s="8"/>
      <c r="G205" s="7" t="s">
        <v>301</v>
      </c>
      <c r="H205" s="9">
        <v>35.209882999999998</v>
      </c>
      <c r="I205" s="9">
        <v>11.105760999999999</v>
      </c>
      <c r="J205" s="7" t="s">
        <v>84</v>
      </c>
      <c r="K205" s="7" t="s">
        <v>37</v>
      </c>
      <c r="L205" s="7"/>
      <c r="M205" s="10">
        <v>4.4800000000000004</v>
      </c>
      <c r="N205" s="7" t="s">
        <v>52</v>
      </c>
      <c r="O205" s="7"/>
      <c r="P205" s="8" t="s">
        <v>39</v>
      </c>
      <c r="Q205">
        <v>4.87</v>
      </c>
      <c r="R205">
        <v>12.9</v>
      </c>
      <c r="S205" t="s">
        <v>91</v>
      </c>
      <c r="T205">
        <v>12</v>
      </c>
      <c r="U205">
        <f t="shared" si="15"/>
        <v>58.44</v>
      </c>
      <c r="V205">
        <v>1.49</v>
      </c>
      <c r="W205">
        <v>50</v>
      </c>
      <c r="X205">
        <v>0.35</v>
      </c>
      <c r="Y205">
        <f t="shared" si="16"/>
        <v>17.5</v>
      </c>
      <c r="Z205">
        <f t="shared" si="17"/>
        <v>87.075599999999994</v>
      </c>
      <c r="AA205">
        <f t="shared" si="18"/>
        <v>69.575599999999994</v>
      </c>
      <c r="AB205">
        <f t="shared" si="19"/>
        <v>311.698688</v>
      </c>
    </row>
    <row r="206" spans="1:28" ht="25.5" x14ac:dyDescent="0.25">
      <c r="A206" s="7">
        <v>205</v>
      </c>
      <c r="B206" s="7" t="s">
        <v>15</v>
      </c>
      <c r="C206" s="7" t="s">
        <v>85</v>
      </c>
      <c r="D206" s="7" t="s">
        <v>302</v>
      </c>
      <c r="E206" s="7"/>
      <c r="F206" s="8"/>
      <c r="G206" s="7" t="s">
        <v>302</v>
      </c>
      <c r="H206" s="9">
        <v>36.818280999999999</v>
      </c>
      <c r="I206" s="9">
        <v>9.8256160000000001</v>
      </c>
      <c r="J206" s="7" t="s">
        <v>87</v>
      </c>
      <c r="K206" s="7" t="s">
        <v>37</v>
      </c>
      <c r="L206" s="7"/>
      <c r="M206" s="10">
        <v>17.649999999999999</v>
      </c>
      <c r="N206" s="7" t="s">
        <v>57</v>
      </c>
      <c r="O206" s="7"/>
      <c r="P206" s="8" t="s">
        <v>39</v>
      </c>
      <c r="Q206">
        <v>6.33</v>
      </c>
      <c r="R206">
        <v>27.5</v>
      </c>
      <c r="S206" t="s">
        <v>58</v>
      </c>
      <c r="T206">
        <v>8</v>
      </c>
      <c r="U206">
        <f t="shared" si="15"/>
        <v>50.64</v>
      </c>
      <c r="V206">
        <v>1.08</v>
      </c>
      <c r="W206">
        <v>80</v>
      </c>
      <c r="X206">
        <v>0.35</v>
      </c>
      <c r="Y206">
        <f t="shared" si="16"/>
        <v>28</v>
      </c>
      <c r="Z206">
        <f t="shared" si="17"/>
        <v>54.691200000000002</v>
      </c>
      <c r="AA206">
        <f t="shared" si="18"/>
        <v>26.691200000000002</v>
      </c>
      <c r="AB206">
        <f t="shared" si="19"/>
        <v>471.09967999999998</v>
      </c>
    </row>
    <row r="207" spans="1:28" ht="25.5" x14ac:dyDescent="0.25">
      <c r="A207" s="7">
        <v>206</v>
      </c>
      <c r="B207" s="7" t="s">
        <v>15</v>
      </c>
      <c r="C207" s="7" t="s">
        <v>88</v>
      </c>
      <c r="D207" s="7" t="s">
        <v>303</v>
      </c>
      <c r="E207" s="7"/>
      <c r="F207" s="8"/>
      <c r="G207" s="7" t="s">
        <v>303</v>
      </c>
      <c r="H207" s="9">
        <v>33.817506999999999</v>
      </c>
      <c r="I207" s="9">
        <v>10.994028999999999</v>
      </c>
      <c r="J207" s="7" t="s">
        <v>90</v>
      </c>
      <c r="K207" s="7" t="s">
        <v>37</v>
      </c>
      <c r="L207" s="7"/>
      <c r="M207" s="10">
        <v>9.84</v>
      </c>
      <c r="N207" s="7" t="s">
        <v>62</v>
      </c>
      <c r="O207" s="7"/>
      <c r="P207" s="8" t="s">
        <v>39</v>
      </c>
      <c r="Q207">
        <v>2.34</v>
      </c>
      <c r="R207">
        <v>39.4</v>
      </c>
      <c r="S207" t="s">
        <v>40</v>
      </c>
      <c r="T207">
        <v>7</v>
      </c>
      <c r="U207">
        <f t="shared" si="15"/>
        <v>16.38</v>
      </c>
      <c r="V207">
        <v>0.66</v>
      </c>
      <c r="W207">
        <v>120</v>
      </c>
      <c r="X207">
        <v>0.35</v>
      </c>
      <c r="Y207">
        <f t="shared" si="16"/>
        <v>42</v>
      </c>
      <c r="Z207">
        <f t="shared" si="17"/>
        <v>10.8108</v>
      </c>
      <c r="AA207">
        <f t="shared" si="18"/>
        <v>0</v>
      </c>
      <c r="AB207">
        <f t="shared" si="19"/>
        <v>0</v>
      </c>
    </row>
    <row r="208" spans="1:28" ht="25.5" x14ac:dyDescent="0.25">
      <c r="A208" s="7">
        <v>207</v>
      </c>
      <c r="B208" s="7" t="s">
        <v>15</v>
      </c>
      <c r="C208" s="7" t="s">
        <v>92</v>
      </c>
      <c r="D208" s="7" t="s">
        <v>304</v>
      </c>
      <c r="E208" s="7"/>
      <c r="F208" s="8"/>
      <c r="G208" s="7" t="s">
        <v>304</v>
      </c>
      <c r="H208" s="9">
        <v>35.612183999999999</v>
      </c>
      <c r="I208" s="9">
        <v>10.763214</v>
      </c>
      <c r="J208" s="7" t="s">
        <v>94</v>
      </c>
      <c r="K208" s="7" t="s">
        <v>37</v>
      </c>
      <c r="L208" s="7"/>
      <c r="M208" s="10">
        <v>3.48</v>
      </c>
      <c r="N208" s="7" t="s">
        <v>66</v>
      </c>
      <c r="O208" s="7"/>
      <c r="P208" s="8" t="s">
        <v>39</v>
      </c>
      <c r="Q208">
        <v>5.35</v>
      </c>
      <c r="R208">
        <v>27.3</v>
      </c>
      <c r="S208" t="s">
        <v>58</v>
      </c>
      <c r="T208">
        <v>10</v>
      </c>
      <c r="U208">
        <f t="shared" si="15"/>
        <v>53.5</v>
      </c>
      <c r="V208">
        <v>0.72</v>
      </c>
      <c r="W208">
        <v>160</v>
      </c>
      <c r="X208">
        <v>0.35</v>
      </c>
      <c r="Y208">
        <f t="shared" si="16"/>
        <v>56</v>
      </c>
      <c r="Z208">
        <f t="shared" si="17"/>
        <v>38.519999999999996</v>
      </c>
      <c r="AA208">
        <f t="shared" si="18"/>
        <v>0</v>
      </c>
      <c r="AB208">
        <f t="shared" si="19"/>
        <v>0</v>
      </c>
    </row>
    <row r="209" spans="1:28" ht="25.5" x14ac:dyDescent="0.25">
      <c r="A209" s="7">
        <v>208</v>
      </c>
      <c r="B209" s="7" t="s">
        <v>15</v>
      </c>
      <c r="C209" s="7" t="s">
        <v>95</v>
      </c>
      <c r="D209" s="7" t="s">
        <v>305</v>
      </c>
      <c r="E209" s="7"/>
      <c r="F209" s="8"/>
      <c r="G209" s="7" t="s">
        <v>305</v>
      </c>
      <c r="H209" s="9">
        <v>36.566175999999999</v>
      </c>
      <c r="I209" s="9">
        <v>10.850069</v>
      </c>
      <c r="J209" s="7" t="s">
        <v>97</v>
      </c>
      <c r="K209" s="7" t="s">
        <v>37</v>
      </c>
      <c r="L209" s="7"/>
      <c r="M209" s="10">
        <v>18.149999999999999</v>
      </c>
      <c r="N209" s="7" t="s">
        <v>70</v>
      </c>
      <c r="O209" s="7"/>
      <c r="P209" s="8" t="s">
        <v>39</v>
      </c>
      <c r="Q209">
        <v>7.79</v>
      </c>
      <c r="R209">
        <v>16.8</v>
      </c>
      <c r="S209" t="s">
        <v>53</v>
      </c>
      <c r="T209">
        <v>9</v>
      </c>
      <c r="U209">
        <f t="shared" si="15"/>
        <v>70.11</v>
      </c>
      <c r="V209">
        <v>1.03</v>
      </c>
      <c r="W209">
        <v>80</v>
      </c>
      <c r="X209">
        <v>0.35</v>
      </c>
      <c r="Y209">
        <f t="shared" si="16"/>
        <v>28</v>
      </c>
      <c r="Z209">
        <f t="shared" si="17"/>
        <v>72.213300000000004</v>
      </c>
      <c r="AA209">
        <f t="shared" si="18"/>
        <v>44.213300000000004</v>
      </c>
      <c r="AB209">
        <f t="shared" si="19"/>
        <v>802.47139500000003</v>
      </c>
    </row>
    <row r="210" spans="1:28" ht="25.5" x14ac:dyDescent="0.25">
      <c r="A210" s="7">
        <v>209</v>
      </c>
      <c r="B210" s="7" t="s">
        <v>15</v>
      </c>
      <c r="C210" s="7" t="s">
        <v>98</v>
      </c>
      <c r="D210" s="7" t="s">
        <v>306</v>
      </c>
      <c r="E210" s="7"/>
      <c r="F210" s="8"/>
      <c r="G210" s="7" t="s">
        <v>306</v>
      </c>
      <c r="H210" s="9">
        <v>34.773491999999997</v>
      </c>
      <c r="I210" s="9">
        <v>10.475482</v>
      </c>
      <c r="J210" s="7" t="s">
        <v>100</v>
      </c>
      <c r="K210" s="7" t="s">
        <v>37</v>
      </c>
      <c r="L210" s="7"/>
      <c r="M210" s="10">
        <v>2.73</v>
      </c>
      <c r="N210" s="7" t="s">
        <v>74</v>
      </c>
      <c r="O210" s="7"/>
      <c r="P210" s="8" t="s">
        <v>39</v>
      </c>
      <c r="Q210">
        <v>6.93</v>
      </c>
      <c r="R210">
        <v>30.3</v>
      </c>
      <c r="S210" t="s">
        <v>58</v>
      </c>
      <c r="T210">
        <v>10</v>
      </c>
      <c r="U210">
        <f t="shared" si="15"/>
        <v>69.3</v>
      </c>
      <c r="V210">
        <v>0.81</v>
      </c>
      <c r="W210">
        <v>160</v>
      </c>
      <c r="X210">
        <v>0.35</v>
      </c>
      <c r="Y210">
        <f t="shared" si="16"/>
        <v>56</v>
      </c>
      <c r="Z210">
        <f t="shared" si="17"/>
        <v>56.133000000000003</v>
      </c>
      <c r="AA210">
        <f t="shared" si="18"/>
        <v>0.13300000000000267</v>
      </c>
      <c r="AB210">
        <f t="shared" si="19"/>
        <v>0.3630900000000073</v>
      </c>
    </row>
    <row r="211" spans="1:28" ht="25.5" x14ac:dyDescent="0.25">
      <c r="A211" s="7">
        <v>210</v>
      </c>
      <c r="B211" s="7" t="s">
        <v>15</v>
      </c>
      <c r="C211" s="7" t="s">
        <v>101</v>
      </c>
      <c r="D211" s="7" t="s">
        <v>307</v>
      </c>
      <c r="E211" s="7"/>
      <c r="F211" s="8"/>
      <c r="G211" s="7" t="s">
        <v>307</v>
      </c>
      <c r="H211" s="9">
        <v>34.911935999999997</v>
      </c>
      <c r="I211" s="9">
        <v>9.7729730000000004</v>
      </c>
      <c r="J211" s="7" t="s">
        <v>103</v>
      </c>
      <c r="K211" s="7" t="s">
        <v>37</v>
      </c>
      <c r="L211" s="7"/>
      <c r="M211" s="10">
        <v>16.98</v>
      </c>
      <c r="N211" s="7" t="s">
        <v>78</v>
      </c>
      <c r="O211" s="7"/>
      <c r="P211" s="8" t="s">
        <v>39</v>
      </c>
      <c r="Q211">
        <v>5.2</v>
      </c>
      <c r="R211">
        <v>37.700000000000003</v>
      </c>
      <c r="S211" t="s">
        <v>40</v>
      </c>
      <c r="T211">
        <v>14</v>
      </c>
      <c r="U211">
        <f t="shared" si="15"/>
        <v>72.8</v>
      </c>
      <c r="V211">
        <v>0.6</v>
      </c>
      <c r="W211">
        <v>50</v>
      </c>
      <c r="X211">
        <v>0.35</v>
      </c>
      <c r="Y211">
        <f t="shared" si="16"/>
        <v>17.5</v>
      </c>
      <c r="Z211">
        <f t="shared" si="17"/>
        <v>43.68</v>
      </c>
      <c r="AA211">
        <f t="shared" si="18"/>
        <v>26.18</v>
      </c>
      <c r="AB211">
        <f t="shared" si="19"/>
        <v>444.53640000000001</v>
      </c>
    </row>
    <row r="212" spans="1:28" ht="25.5" x14ac:dyDescent="0.25">
      <c r="A212" s="7">
        <v>211</v>
      </c>
      <c r="B212" s="7" t="s">
        <v>15</v>
      </c>
      <c r="C212" s="7" t="s">
        <v>104</v>
      </c>
      <c r="D212" s="7" t="s">
        <v>308</v>
      </c>
      <c r="E212" s="7"/>
      <c r="F212" s="8"/>
      <c r="G212" s="7" t="s">
        <v>308</v>
      </c>
      <c r="H212" s="9">
        <v>35.874502999999997</v>
      </c>
      <c r="I212" s="9">
        <v>9.1808800000000002</v>
      </c>
      <c r="J212" s="7" t="s">
        <v>106</v>
      </c>
      <c r="K212" s="7" t="s">
        <v>37</v>
      </c>
      <c r="L212" s="7"/>
      <c r="M212" s="10">
        <v>23.96</v>
      </c>
      <c r="N212" s="7" t="s">
        <v>38</v>
      </c>
      <c r="O212" s="7"/>
      <c r="P212" s="8" t="s">
        <v>39</v>
      </c>
      <c r="Q212">
        <v>4.2</v>
      </c>
      <c r="R212">
        <v>30.1</v>
      </c>
      <c r="S212" t="s">
        <v>58</v>
      </c>
      <c r="T212">
        <v>18</v>
      </c>
      <c r="U212">
        <f t="shared" si="15"/>
        <v>75.600000000000009</v>
      </c>
      <c r="V212">
        <v>0.9</v>
      </c>
      <c r="W212">
        <v>80</v>
      </c>
      <c r="X212">
        <v>0.35</v>
      </c>
      <c r="Y212">
        <f t="shared" si="16"/>
        <v>28</v>
      </c>
      <c r="Z212">
        <f t="shared" si="17"/>
        <v>68.040000000000006</v>
      </c>
      <c r="AA212">
        <f t="shared" si="18"/>
        <v>40.040000000000006</v>
      </c>
      <c r="AB212">
        <f t="shared" si="19"/>
        <v>959.35840000000019</v>
      </c>
    </row>
    <row r="213" spans="1:28" ht="25.5" x14ac:dyDescent="0.25">
      <c r="A213" s="7">
        <v>212</v>
      </c>
      <c r="B213" s="7" t="s">
        <v>15</v>
      </c>
      <c r="C213" s="7" t="s">
        <v>107</v>
      </c>
      <c r="D213" s="7" t="s">
        <v>309</v>
      </c>
      <c r="E213" s="7"/>
      <c r="F213" s="8"/>
      <c r="G213" s="7" t="s">
        <v>309</v>
      </c>
      <c r="H213" s="9">
        <v>36.152757000000001</v>
      </c>
      <c r="I213" s="9">
        <v>10.408089</v>
      </c>
      <c r="J213" s="7" t="s">
        <v>109</v>
      </c>
      <c r="K213" s="7" t="s">
        <v>37</v>
      </c>
      <c r="L213" s="7"/>
      <c r="M213" s="10">
        <v>23.13</v>
      </c>
      <c r="N213" s="7" t="s">
        <v>44</v>
      </c>
      <c r="O213" s="7"/>
      <c r="P213" s="8" t="s">
        <v>39</v>
      </c>
      <c r="Q213">
        <v>6.51</v>
      </c>
      <c r="R213">
        <v>32.5</v>
      </c>
      <c r="S213" t="s">
        <v>58</v>
      </c>
      <c r="T213">
        <v>18</v>
      </c>
      <c r="U213">
        <f t="shared" si="15"/>
        <v>117.17999999999999</v>
      </c>
      <c r="V213">
        <v>0.9</v>
      </c>
      <c r="W213">
        <v>160</v>
      </c>
      <c r="X213">
        <v>0.35</v>
      </c>
      <c r="Y213">
        <f t="shared" si="16"/>
        <v>56</v>
      </c>
      <c r="Z213">
        <f t="shared" si="17"/>
        <v>105.46199999999999</v>
      </c>
      <c r="AA213">
        <f t="shared" si="18"/>
        <v>49.461999999999989</v>
      </c>
      <c r="AB213">
        <f t="shared" si="19"/>
        <v>1144.0560599999997</v>
      </c>
    </row>
    <row r="214" spans="1:28" ht="25.5" x14ac:dyDescent="0.25">
      <c r="A214" s="7">
        <v>213</v>
      </c>
      <c r="B214" s="7" t="s">
        <v>15</v>
      </c>
      <c r="C214" s="7" t="s">
        <v>110</v>
      </c>
      <c r="D214" s="7" t="s">
        <v>310</v>
      </c>
      <c r="E214" s="7"/>
      <c r="F214" s="8"/>
      <c r="G214" s="7" t="s">
        <v>310</v>
      </c>
      <c r="H214" s="9">
        <v>33.159514000000001</v>
      </c>
      <c r="I214" s="9">
        <v>10.255914000000001</v>
      </c>
      <c r="J214" s="7" t="s">
        <v>112</v>
      </c>
      <c r="K214" s="7" t="s">
        <v>37</v>
      </c>
      <c r="L214" s="7"/>
      <c r="M214" s="10">
        <v>4.95</v>
      </c>
      <c r="N214" s="7" t="s">
        <v>48</v>
      </c>
      <c r="O214" s="7"/>
      <c r="P214" s="8" t="s">
        <v>39</v>
      </c>
      <c r="Q214">
        <v>5.73</v>
      </c>
      <c r="R214">
        <v>35.6</v>
      </c>
      <c r="S214" t="s">
        <v>40</v>
      </c>
      <c r="T214">
        <v>16</v>
      </c>
      <c r="U214">
        <f t="shared" si="15"/>
        <v>91.68</v>
      </c>
      <c r="V214">
        <v>0.54</v>
      </c>
      <c r="W214">
        <v>0</v>
      </c>
      <c r="X214">
        <v>0</v>
      </c>
      <c r="Y214">
        <f t="shared" si="16"/>
        <v>0</v>
      </c>
      <c r="Z214">
        <f t="shared" si="17"/>
        <v>49.507200000000005</v>
      </c>
      <c r="AA214">
        <f t="shared" si="18"/>
        <v>49.507200000000005</v>
      </c>
      <c r="AB214">
        <f t="shared" si="19"/>
        <v>245.06064000000003</v>
      </c>
    </row>
    <row r="215" spans="1:28" ht="25.5" x14ac:dyDescent="0.25">
      <c r="A215" s="7">
        <v>214</v>
      </c>
      <c r="B215" s="7" t="s">
        <v>15</v>
      </c>
      <c r="C215" s="7" t="s">
        <v>113</v>
      </c>
      <c r="D215" s="7" t="s">
        <v>311</v>
      </c>
      <c r="E215" s="7"/>
      <c r="F215" s="8"/>
      <c r="G215" s="7" t="s">
        <v>311</v>
      </c>
      <c r="H215" s="9">
        <v>33.861387000000001</v>
      </c>
      <c r="I215" s="9">
        <v>7.8750590000000003</v>
      </c>
      <c r="J215" s="7" t="s">
        <v>115</v>
      </c>
      <c r="K215" s="7" t="s">
        <v>37</v>
      </c>
      <c r="L215" s="7"/>
      <c r="M215" s="10">
        <v>2.3199999999999998</v>
      </c>
      <c r="N215" s="7" t="s">
        <v>52</v>
      </c>
      <c r="O215" s="7"/>
      <c r="P215" s="8" t="s">
        <v>39</v>
      </c>
      <c r="Q215">
        <v>3.45</v>
      </c>
      <c r="R215">
        <v>34.4</v>
      </c>
      <c r="S215" t="s">
        <v>58</v>
      </c>
      <c r="T215">
        <v>12</v>
      </c>
      <c r="U215">
        <f t="shared" si="15"/>
        <v>41.400000000000006</v>
      </c>
      <c r="V215">
        <v>0.99</v>
      </c>
      <c r="W215">
        <v>50</v>
      </c>
      <c r="X215">
        <v>0.35</v>
      </c>
      <c r="Y215">
        <f t="shared" si="16"/>
        <v>17.5</v>
      </c>
      <c r="Z215">
        <f t="shared" si="17"/>
        <v>40.986000000000004</v>
      </c>
      <c r="AA215">
        <f t="shared" si="18"/>
        <v>23.486000000000004</v>
      </c>
      <c r="AB215">
        <f t="shared" si="19"/>
        <v>54.487520000000004</v>
      </c>
    </row>
    <row r="216" spans="1:28" ht="25.5" x14ac:dyDescent="0.25">
      <c r="A216" s="7">
        <v>215</v>
      </c>
      <c r="B216" s="7" t="s">
        <v>15</v>
      </c>
      <c r="C216" s="7" t="s">
        <v>116</v>
      </c>
      <c r="D216" s="7" t="s">
        <v>312</v>
      </c>
      <c r="E216" s="7"/>
      <c r="F216" s="8"/>
      <c r="G216" s="7" t="s">
        <v>312</v>
      </c>
      <c r="H216" s="9">
        <v>36.859890999999998</v>
      </c>
      <c r="I216" s="9">
        <v>10.325418000000001</v>
      </c>
      <c r="J216" s="7" t="s">
        <v>118</v>
      </c>
      <c r="K216" s="7" t="s">
        <v>37</v>
      </c>
      <c r="L216" s="7"/>
      <c r="M216" s="10">
        <v>24.97</v>
      </c>
      <c r="N216" s="7" t="s">
        <v>57</v>
      </c>
      <c r="O216" s="7"/>
      <c r="P216" s="8" t="s">
        <v>39</v>
      </c>
      <c r="Q216">
        <v>1.93</v>
      </c>
      <c r="R216">
        <v>10.7</v>
      </c>
      <c r="S216" t="s">
        <v>91</v>
      </c>
      <c r="T216">
        <v>8</v>
      </c>
      <c r="U216">
        <f t="shared" si="15"/>
        <v>15.44</v>
      </c>
      <c r="V216">
        <v>1.6</v>
      </c>
      <c r="W216">
        <v>0</v>
      </c>
      <c r="X216">
        <v>0</v>
      </c>
      <c r="Y216">
        <f t="shared" si="16"/>
        <v>0</v>
      </c>
      <c r="Z216">
        <f t="shared" si="17"/>
        <v>24.704000000000001</v>
      </c>
      <c r="AA216">
        <f t="shared" si="18"/>
        <v>24.704000000000001</v>
      </c>
      <c r="AB216">
        <f t="shared" si="19"/>
        <v>616.85888</v>
      </c>
    </row>
    <row r="217" spans="1:28" ht="25.5" x14ac:dyDescent="0.25">
      <c r="A217" s="7">
        <v>216</v>
      </c>
      <c r="B217" s="7" t="s">
        <v>15</v>
      </c>
      <c r="C217" s="7" t="s">
        <v>119</v>
      </c>
      <c r="D217" s="7" t="s">
        <v>313</v>
      </c>
      <c r="E217" s="7"/>
      <c r="F217" s="8"/>
      <c r="G217" s="7" t="s">
        <v>313</v>
      </c>
      <c r="H217" s="9">
        <v>36.382364000000003</v>
      </c>
      <c r="I217" s="9">
        <v>9.6139790000000005</v>
      </c>
      <c r="J217" s="7" t="s">
        <v>121</v>
      </c>
      <c r="K217" s="7" t="s">
        <v>37</v>
      </c>
      <c r="L217" s="7"/>
      <c r="M217" s="10">
        <v>4.0599999999999996</v>
      </c>
      <c r="N217" s="7" t="s">
        <v>62</v>
      </c>
      <c r="O217" s="7"/>
      <c r="P217" s="8" t="s">
        <v>39</v>
      </c>
      <c r="Q217">
        <v>7.27</v>
      </c>
      <c r="R217">
        <v>38.299999999999997</v>
      </c>
      <c r="S217" t="s">
        <v>40</v>
      </c>
      <c r="T217">
        <v>7</v>
      </c>
      <c r="U217">
        <f t="shared" si="15"/>
        <v>50.89</v>
      </c>
      <c r="V217">
        <v>0.66</v>
      </c>
      <c r="W217">
        <v>0</v>
      </c>
      <c r="X217">
        <v>0</v>
      </c>
      <c r="Y217">
        <f t="shared" si="16"/>
        <v>0</v>
      </c>
      <c r="Z217">
        <f t="shared" si="17"/>
        <v>33.587400000000002</v>
      </c>
      <c r="AA217">
        <f t="shared" si="18"/>
        <v>33.587400000000002</v>
      </c>
      <c r="AB217">
        <f t="shared" si="19"/>
        <v>136.36484400000001</v>
      </c>
    </row>
    <row r="218" spans="1:28" ht="25.5" x14ac:dyDescent="0.25">
      <c r="A218" s="7">
        <v>217</v>
      </c>
      <c r="B218" s="7" t="s">
        <v>15</v>
      </c>
      <c r="C218" s="7" t="s">
        <v>34</v>
      </c>
      <c r="D218" s="7" t="s">
        <v>314</v>
      </c>
      <c r="E218" s="7"/>
      <c r="F218" s="8"/>
      <c r="G218" s="7" t="s">
        <v>314</v>
      </c>
      <c r="H218" s="9">
        <v>36.880057999999998</v>
      </c>
      <c r="I218" s="9">
        <v>10.248042999999999</v>
      </c>
      <c r="J218" s="7" t="s">
        <v>36</v>
      </c>
      <c r="K218" s="7" t="s">
        <v>37</v>
      </c>
      <c r="L218" s="7"/>
      <c r="M218" s="10">
        <v>15.3</v>
      </c>
      <c r="N218" s="7" t="s">
        <v>66</v>
      </c>
      <c r="O218" s="7"/>
      <c r="P218" s="8" t="s">
        <v>39</v>
      </c>
      <c r="Q218">
        <v>4.12</v>
      </c>
      <c r="R218">
        <v>27.6</v>
      </c>
      <c r="S218" t="s">
        <v>58</v>
      </c>
      <c r="T218">
        <v>10</v>
      </c>
      <c r="U218">
        <f t="shared" si="15"/>
        <v>41.2</v>
      </c>
      <c r="V218">
        <v>0.72</v>
      </c>
      <c r="W218">
        <v>160</v>
      </c>
      <c r="X218">
        <v>0.35</v>
      </c>
      <c r="Y218">
        <f t="shared" si="16"/>
        <v>56</v>
      </c>
      <c r="Z218">
        <f t="shared" si="17"/>
        <v>29.664000000000001</v>
      </c>
      <c r="AA218">
        <f t="shared" si="18"/>
        <v>0</v>
      </c>
      <c r="AB218">
        <f t="shared" si="19"/>
        <v>0</v>
      </c>
    </row>
    <row r="219" spans="1:28" ht="25.5" x14ac:dyDescent="0.25">
      <c r="A219" s="7">
        <v>218</v>
      </c>
      <c r="B219" s="7" t="s">
        <v>15</v>
      </c>
      <c r="C219" s="7" t="s">
        <v>41</v>
      </c>
      <c r="D219" s="7" t="s">
        <v>315</v>
      </c>
      <c r="E219" s="7"/>
      <c r="F219" s="8"/>
      <c r="G219" s="7" t="s">
        <v>315</v>
      </c>
      <c r="H219" s="9">
        <v>36.642887999999999</v>
      </c>
      <c r="I219" s="9">
        <v>9.5897319999999997</v>
      </c>
      <c r="J219" s="7" t="s">
        <v>43</v>
      </c>
      <c r="K219" s="7" t="s">
        <v>37</v>
      </c>
      <c r="L219" s="7"/>
      <c r="M219" s="10">
        <v>19</v>
      </c>
      <c r="N219" s="7" t="s">
        <v>70</v>
      </c>
      <c r="O219" s="7"/>
      <c r="P219" s="8" t="s">
        <v>39</v>
      </c>
      <c r="Q219">
        <v>5.67</v>
      </c>
      <c r="R219">
        <v>23</v>
      </c>
      <c r="S219" t="s">
        <v>53</v>
      </c>
      <c r="T219">
        <v>9</v>
      </c>
      <c r="U219">
        <f t="shared" si="15"/>
        <v>51.03</v>
      </c>
      <c r="V219">
        <v>1.03</v>
      </c>
      <c r="W219">
        <v>0</v>
      </c>
      <c r="X219">
        <v>0</v>
      </c>
      <c r="Y219">
        <f t="shared" si="16"/>
        <v>0</v>
      </c>
      <c r="Z219">
        <f t="shared" si="17"/>
        <v>52.560900000000004</v>
      </c>
      <c r="AA219">
        <f t="shared" si="18"/>
        <v>52.560900000000004</v>
      </c>
      <c r="AB219">
        <f t="shared" si="19"/>
        <v>998.65710000000013</v>
      </c>
    </row>
    <row r="220" spans="1:28" ht="25.5" x14ac:dyDescent="0.25">
      <c r="A220" s="7">
        <v>219</v>
      </c>
      <c r="B220" s="7" t="s">
        <v>15</v>
      </c>
      <c r="C220" s="7" t="s">
        <v>45</v>
      </c>
      <c r="D220" s="7" t="s">
        <v>316</v>
      </c>
      <c r="E220" s="7"/>
      <c r="F220" s="8"/>
      <c r="G220" s="7" t="s">
        <v>316</v>
      </c>
      <c r="H220" s="9">
        <v>36.599367000000001</v>
      </c>
      <c r="I220" s="9">
        <v>10.322479</v>
      </c>
      <c r="J220" s="7" t="s">
        <v>47</v>
      </c>
      <c r="K220" s="7" t="s">
        <v>37</v>
      </c>
      <c r="L220" s="7"/>
      <c r="M220" s="10">
        <v>11.07</v>
      </c>
      <c r="N220" s="7" t="s">
        <v>74</v>
      </c>
      <c r="O220" s="7"/>
      <c r="P220" s="8" t="s">
        <v>39</v>
      </c>
      <c r="Q220">
        <v>6.27</v>
      </c>
      <c r="R220">
        <v>35.4</v>
      </c>
      <c r="S220" t="s">
        <v>40</v>
      </c>
      <c r="T220">
        <v>10</v>
      </c>
      <c r="U220">
        <f t="shared" si="15"/>
        <v>62.699999999999996</v>
      </c>
      <c r="V220">
        <v>0.54</v>
      </c>
      <c r="W220">
        <v>0</v>
      </c>
      <c r="X220">
        <v>0</v>
      </c>
      <c r="Y220">
        <f t="shared" si="16"/>
        <v>0</v>
      </c>
      <c r="Z220">
        <f t="shared" si="17"/>
        <v>33.857999999999997</v>
      </c>
      <c r="AA220">
        <f t="shared" si="18"/>
        <v>33.857999999999997</v>
      </c>
      <c r="AB220">
        <f t="shared" si="19"/>
        <v>374.80805999999995</v>
      </c>
    </row>
    <row r="221" spans="1:28" ht="25.5" x14ac:dyDescent="0.25">
      <c r="A221" s="7">
        <v>220</v>
      </c>
      <c r="B221" s="7" t="s">
        <v>15</v>
      </c>
      <c r="C221" s="7" t="s">
        <v>49</v>
      </c>
      <c r="D221" s="7" t="s">
        <v>317</v>
      </c>
      <c r="E221" s="7"/>
      <c r="F221" s="8"/>
      <c r="G221" s="7" t="s">
        <v>317</v>
      </c>
      <c r="H221" s="9">
        <v>37.179729999999999</v>
      </c>
      <c r="I221" s="9">
        <v>9.7720839999999995</v>
      </c>
      <c r="J221" s="7" t="s">
        <v>51</v>
      </c>
      <c r="K221" s="7" t="s">
        <v>37</v>
      </c>
      <c r="L221" s="7"/>
      <c r="M221" s="10">
        <v>13.25</v>
      </c>
      <c r="N221" s="7" t="s">
        <v>78</v>
      </c>
      <c r="O221" s="7"/>
      <c r="P221" s="8" t="s">
        <v>39</v>
      </c>
      <c r="Q221">
        <v>2.95</v>
      </c>
      <c r="R221">
        <v>12.5</v>
      </c>
      <c r="S221" t="s">
        <v>91</v>
      </c>
      <c r="T221">
        <v>14</v>
      </c>
      <c r="U221">
        <f t="shared" si="15"/>
        <v>41.300000000000004</v>
      </c>
      <c r="V221">
        <v>1.35</v>
      </c>
      <c r="W221">
        <v>50</v>
      </c>
      <c r="X221">
        <v>0.35</v>
      </c>
      <c r="Y221">
        <f t="shared" si="16"/>
        <v>17.5</v>
      </c>
      <c r="Z221">
        <f t="shared" si="17"/>
        <v>55.75500000000001</v>
      </c>
      <c r="AA221">
        <f t="shared" si="18"/>
        <v>38.25500000000001</v>
      </c>
      <c r="AB221">
        <f t="shared" si="19"/>
        <v>506.87875000000014</v>
      </c>
    </row>
    <row r="222" spans="1:28" ht="25.5" x14ac:dyDescent="0.25">
      <c r="A222" s="7">
        <v>221</v>
      </c>
      <c r="B222" s="7" t="s">
        <v>15</v>
      </c>
      <c r="C222" s="7" t="s">
        <v>54</v>
      </c>
      <c r="D222" s="7" t="s">
        <v>318</v>
      </c>
      <c r="E222" s="7"/>
      <c r="F222" s="8"/>
      <c r="G222" s="7" t="s">
        <v>318</v>
      </c>
      <c r="H222" s="9">
        <v>33.636132000000003</v>
      </c>
      <c r="I222" s="9">
        <v>10.269145</v>
      </c>
      <c r="J222" s="7" t="s">
        <v>56</v>
      </c>
      <c r="K222" s="7" t="s">
        <v>37</v>
      </c>
      <c r="L222" s="7"/>
      <c r="M222" s="10">
        <v>2.85</v>
      </c>
      <c r="N222" s="7" t="s">
        <v>38</v>
      </c>
      <c r="O222" s="7"/>
      <c r="P222" s="8" t="s">
        <v>39</v>
      </c>
      <c r="Q222">
        <v>4.03</v>
      </c>
      <c r="R222">
        <v>14.1</v>
      </c>
      <c r="S222" t="s">
        <v>91</v>
      </c>
      <c r="T222">
        <v>18</v>
      </c>
      <c r="U222">
        <f t="shared" si="15"/>
        <v>72.540000000000006</v>
      </c>
      <c r="V222">
        <v>1.35</v>
      </c>
      <c r="W222">
        <v>0</v>
      </c>
      <c r="X222">
        <v>0</v>
      </c>
      <c r="Y222">
        <f t="shared" si="16"/>
        <v>0</v>
      </c>
      <c r="Z222">
        <f t="shared" si="17"/>
        <v>97.929000000000016</v>
      </c>
      <c r="AA222">
        <f t="shared" si="18"/>
        <v>97.929000000000016</v>
      </c>
      <c r="AB222">
        <f t="shared" si="19"/>
        <v>279.09765000000004</v>
      </c>
    </row>
    <row r="223" spans="1:28" ht="25.5" x14ac:dyDescent="0.25">
      <c r="A223" s="7">
        <v>222</v>
      </c>
      <c r="B223" s="7" t="s">
        <v>15</v>
      </c>
      <c r="C223" s="7" t="s">
        <v>59</v>
      </c>
      <c r="D223" s="7" t="s">
        <v>319</v>
      </c>
      <c r="E223" s="7"/>
      <c r="F223" s="8"/>
      <c r="G223" s="7" t="s">
        <v>319</v>
      </c>
      <c r="H223" s="9">
        <v>34.335948000000002</v>
      </c>
      <c r="I223" s="9">
        <v>8.4112170000000006</v>
      </c>
      <c r="J223" s="7" t="s">
        <v>61</v>
      </c>
      <c r="K223" s="7" t="s">
        <v>37</v>
      </c>
      <c r="L223" s="7"/>
      <c r="M223" s="10">
        <v>11.88</v>
      </c>
      <c r="N223" s="7" t="s">
        <v>44</v>
      </c>
      <c r="O223" s="7"/>
      <c r="P223" s="8" t="s">
        <v>39</v>
      </c>
      <c r="Q223">
        <v>2.59</v>
      </c>
      <c r="R223">
        <v>15.6</v>
      </c>
      <c r="S223" t="s">
        <v>53</v>
      </c>
      <c r="T223">
        <v>18</v>
      </c>
      <c r="U223">
        <f t="shared" si="15"/>
        <v>46.62</v>
      </c>
      <c r="V223">
        <v>1.1499999999999999</v>
      </c>
      <c r="W223">
        <v>0</v>
      </c>
      <c r="X223">
        <v>0</v>
      </c>
      <c r="Y223">
        <f t="shared" si="16"/>
        <v>0</v>
      </c>
      <c r="Z223">
        <f t="shared" si="17"/>
        <v>53.612999999999992</v>
      </c>
      <c r="AA223">
        <f t="shared" si="18"/>
        <v>53.612999999999992</v>
      </c>
      <c r="AB223">
        <f t="shared" si="19"/>
        <v>636.92243999999994</v>
      </c>
    </row>
    <row r="224" spans="1:28" ht="25.5" x14ac:dyDescent="0.25">
      <c r="A224" s="7">
        <v>223</v>
      </c>
      <c r="B224" s="7" t="s">
        <v>15</v>
      </c>
      <c r="C224" s="7" t="s">
        <v>63</v>
      </c>
      <c r="D224" s="7" t="s">
        <v>320</v>
      </c>
      <c r="E224" s="7"/>
      <c r="F224" s="8"/>
      <c r="G224" s="7" t="s">
        <v>320</v>
      </c>
      <c r="H224" s="9">
        <v>36.961412000000003</v>
      </c>
      <c r="I224" s="9">
        <v>8.7441519999999997</v>
      </c>
      <c r="J224" s="7" t="s">
        <v>65</v>
      </c>
      <c r="K224" s="7" t="s">
        <v>37</v>
      </c>
      <c r="L224" s="7"/>
      <c r="M224" s="10">
        <v>23.89</v>
      </c>
      <c r="N224" s="7" t="s">
        <v>48</v>
      </c>
      <c r="O224" s="7"/>
      <c r="P224" s="8" t="s">
        <v>39</v>
      </c>
      <c r="Q224">
        <v>7.37</v>
      </c>
      <c r="R224">
        <v>25.1</v>
      </c>
      <c r="S224" t="s">
        <v>58</v>
      </c>
      <c r="T224">
        <v>16</v>
      </c>
      <c r="U224">
        <f t="shared" si="15"/>
        <v>117.92</v>
      </c>
      <c r="V224">
        <v>0.81</v>
      </c>
      <c r="W224">
        <v>160</v>
      </c>
      <c r="X224">
        <v>0.35</v>
      </c>
      <c r="Y224">
        <f t="shared" si="16"/>
        <v>56</v>
      </c>
      <c r="Z224">
        <f t="shared" si="17"/>
        <v>95.515200000000007</v>
      </c>
      <c r="AA224">
        <f t="shared" si="18"/>
        <v>39.515200000000007</v>
      </c>
      <c r="AB224">
        <f t="shared" si="19"/>
        <v>944.01812800000016</v>
      </c>
    </row>
    <row r="225" spans="1:28" ht="25.5" x14ac:dyDescent="0.25">
      <c r="A225" s="7">
        <v>224</v>
      </c>
      <c r="B225" s="7" t="s">
        <v>15</v>
      </c>
      <c r="C225" s="7" t="s">
        <v>67</v>
      </c>
      <c r="D225" s="7" t="s">
        <v>321</v>
      </c>
      <c r="E225" s="7"/>
      <c r="F225" s="8"/>
      <c r="G225" s="7" t="s">
        <v>321</v>
      </c>
      <c r="H225" s="9">
        <v>35.639271000000001</v>
      </c>
      <c r="I225" s="9">
        <v>9.9250050000000005</v>
      </c>
      <c r="J225" s="7" t="s">
        <v>69</v>
      </c>
      <c r="K225" s="7" t="s">
        <v>37</v>
      </c>
      <c r="L225" s="7"/>
      <c r="M225" s="10">
        <v>21.43</v>
      </c>
      <c r="N225" s="7" t="s">
        <v>52</v>
      </c>
      <c r="O225" s="7"/>
      <c r="P225" s="8" t="s">
        <v>39</v>
      </c>
      <c r="Q225">
        <v>5.83</v>
      </c>
      <c r="R225">
        <v>40.299999999999997</v>
      </c>
      <c r="S225" t="s">
        <v>40</v>
      </c>
      <c r="T225">
        <v>12</v>
      </c>
      <c r="U225">
        <f t="shared" si="15"/>
        <v>69.960000000000008</v>
      </c>
      <c r="V225">
        <v>0.66</v>
      </c>
      <c r="W225">
        <v>0</v>
      </c>
      <c r="X225">
        <v>0</v>
      </c>
      <c r="Y225">
        <f t="shared" si="16"/>
        <v>0</v>
      </c>
      <c r="Z225">
        <f t="shared" si="17"/>
        <v>46.173600000000008</v>
      </c>
      <c r="AA225">
        <f t="shared" si="18"/>
        <v>46.173600000000008</v>
      </c>
      <c r="AB225">
        <f t="shared" si="19"/>
        <v>989.50024800000017</v>
      </c>
    </row>
    <row r="226" spans="1:28" ht="25.5" x14ac:dyDescent="0.25">
      <c r="A226" s="7">
        <v>225</v>
      </c>
      <c r="B226" s="7" t="s">
        <v>15</v>
      </c>
      <c r="C226" s="7" t="s">
        <v>71</v>
      </c>
      <c r="D226" s="7" t="s">
        <v>322</v>
      </c>
      <c r="E226" s="7"/>
      <c r="F226" s="8"/>
      <c r="G226" s="7" t="s">
        <v>322</v>
      </c>
      <c r="H226" s="9">
        <v>35.235377999999997</v>
      </c>
      <c r="I226" s="9">
        <v>9.1159780000000001</v>
      </c>
      <c r="J226" s="7" t="s">
        <v>73</v>
      </c>
      <c r="K226" s="7" t="s">
        <v>37</v>
      </c>
      <c r="L226" s="7"/>
      <c r="M226" s="10">
        <v>22.17</v>
      </c>
      <c r="N226" s="7" t="s">
        <v>57</v>
      </c>
      <c r="O226" s="7"/>
      <c r="P226" s="8" t="s">
        <v>39</v>
      </c>
      <c r="Q226">
        <v>6.04</v>
      </c>
      <c r="R226">
        <v>33.700000000000003</v>
      </c>
      <c r="S226" t="s">
        <v>58</v>
      </c>
      <c r="T226">
        <v>8</v>
      </c>
      <c r="U226">
        <f t="shared" si="15"/>
        <v>48.32</v>
      </c>
      <c r="V226">
        <v>1.08</v>
      </c>
      <c r="W226">
        <v>80</v>
      </c>
      <c r="X226">
        <v>0.35</v>
      </c>
      <c r="Y226">
        <f t="shared" si="16"/>
        <v>28</v>
      </c>
      <c r="Z226">
        <f t="shared" si="17"/>
        <v>52.185600000000001</v>
      </c>
      <c r="AA226">
        <f t="shared" si="18"/>
        <v>24.185600000000001</v>
      </c>
      <c r="AB226">
        <f t="shared" si="19"/>
        <v>536.19475200000011</v>
      </c>
    </row>
    <row r="227" spans="1:28" ht="25.5" x14ac:dyDescent="0.25">
      <c r="A227" s="7">
        <v>226</v>
      </c>
      <c r="B227" s="7" t="s">
        <v>15</v>
      </c>
      <c r="C227" s="7" t="s">
        <v>75</v>
      </c>
      <c r="D227" s="7" t="s">
        <v>323</v>
      </c>
      <c r="E227" s="7"/>
      <c r="F227" s="8"/>
      <c r="G227" s="7" t="s">
        <v>323</v>
      </c>
      <c r="H227" s="9">
        <v>33.474929000000003</v>
      </c>
      <c r="I227" s="9">
        <v>9.0048490000000001</v>
      </c>
      <c r="J227" s="7" t="s">
        <v>77</v>
      </c>
      <c r="K227" s="7" t="s">
        <v>37</v>
      </c>
      <c r="L227" s="7"/>
      <c r="M227" s="10">
        <v>5.0599999999999996</v>
      </c>
      <c r="N227" s="7" t="s">
        <v>62</v>
      </c>
      <c r="O227" s="7"/>
      <c r="P227" s="8" t="s">
        <v>39</v>
      </c>
      <c r="Q227">
        <v>2.16</v>
      </c>
      <c r="R227">
        <v>22.3</v>
      </c>
      <c r="S227" t="s">
        <v>53</v>
      </c>
      <c r="T227">
        <v>7</v>
      </c>
      <c r="U227">
        <f t="shared" si="15"/>
        <v>15.120000000000001</v>
      </c>
      <c r="V227">
        <v>1.26</v>
      </c>
      <c r="W227">
        <v>160</v>
      </c>
      <c r="X227">
        <v>0.35</v>
      </c>
      <c r="Y227">
        <f t="shared" si="16"/>
        <v>56</v>
      </c>
      <c r="Z227">
        <f t="shared" si="17"/>
        <v>19.051200000000001</v>
      </c>
      <c r="AA227">
        <f t="shared" si="18"/>
        <v>0</v>
      </c>
      <c r="AB227">
        <f t="shared" si="19"/>
        <v>0</v>
      </c>
    </row>
    <row r="228" spans="1:28" ht="25.5" x14ac:dyDescent="0.25">
      <c r="A228" s="7">
        <v>227</v>
      </c>
      <c r="B228" s="7" t="s">
        <v>15</v>
      </c>
      <c r="C228" s="7" t="s">
        <v>79</v>
      </c>
      <c r="D228" s="7" t="s">
        <v>324</v>
      </c>
      <c r="E228" s="7"/>
      <c r="F228" s="8"/>
      <c r="G228" s="7" t="s">
        <v>324</v>
      </c>
      <c r="H228" s="9">
        <v>35.942971999999997</v>
      </c>
      <c r="I228" s="9">
        <v>8.829523</v>
      </c>
      <c r="J228" s="7" t="s">
        <v>81</v>
      </c>
      <c r="K228" s="7" t="s">
        <v>37</v>
      </c>
      <c r="L228" s="7"/>
      <c r="M228" s="10">
        <v>7.13</v>
      </c>
      <c r="N228" s="7" t="s">
        <v>66</v>
      </c>
      <c r="O228" s="7"/>
      <c r="P228" s="8" t="s">
        <v>39</v>
      </c>
      <c r="Q228">
        <v>4.26</v>
      </c>
      <c r="R228">
        <v>38.799999999999997</v>
      </c>
      <c r="S228" t="s">
        <v>40</v>
      </c>
      <c r="T228">
        <v>10</v>
      </c>
      <c r="U228">
        <f t="shared" si="15"/>
        <v>42.599999999999994</v>
      </c>
      <c r="V228">
        <v>0.48</v>
      </c>
      <c r="W228">
        <v>0</v>
      </c>
      <c r="X228">
        <v>0</v>
      </c>
      <c r="Y228">
        <f t="shared" si="16"/>
        <v>0</v>
      </c>
      <c r="Z228">
        <f t="shared" si="17"/>
        <v>20.447999999999997</v>
      </c>
      <c r="AA228">
        <f t="shared" si="18"/>
        <v>20.447999999999997</v>
      </c>
      <c r="AB228">
        <f t="shared" si="19"/>
        <v>145.79423999999997</v>
      </c>
    </row>
    <row r="229" spans="1:28" ht="25.5" x14ac:dyDescent="0.25">
      <c r="A229" s="7">
        <v>228</v>
      </c>
      <c r="B229" s="7" t="s">
        <v>15</v>
      </c>
      <c r="C229" s="7" t="s">
        <v>82</v>
      </c>
      <c r="D229" s="7" t="s">
        <v>325</v>
      </c>
      <c r="E229" s="7"/>
      <c r="F229" s="8"/>
      <c r="G229" s="7" t="s">
        <v>325</v>
      </c>
      <c r="H229" s="9">
        <v>35.227575999999999</v>
      </c>
      <c r="I229" s="9">
        <v>11.100937999999999</v>
      </c>
      <c r="J229" s="7" t="s">
        <v>84</v>
      </c>
      <c r="K229" s="7" t="s">
        <v>37</v>
      </c>
      <c r="L229" s="7"/>
      <c r="M229" s="10">
        <v>15.23</v>
      </c>
      <c r="N229" s="7" t="s">
        <v>70</v>
      </c>
      <c r="O229" s="7"/>
      <c r="P229" s="8" t="s">
        <v>39</v>
      </c>
      <c r="Q229">
        <v>1.81</v>
      </c>
      <c r="R229">
        <v>38.200000000000003</v>
      </c>
      <c r="S229" t="s">
        <v>40</v>
      </c>
      <c r="T229">
        <v>9</v>
      </c>
      <c r="U229">
        <f t="shared" si="15"/>
        <v>16.29</v>
      </c>
      <c r="V229">
        <v>0.54</v>
      </c>
      <c r="W229">
        <v>50</v>
      </c>
      <c r="X229">
        <v>0.35</v>
      </c>
      <c r="Y229">
        <f t="shared" si="16"/>
        <v>17.5</v>
      </c>
      <c r="Z229">
        <f t="shared" si="17"/>
        <v>8.7965999999999998</v>
      </c>
      <c r="AA229">
        <f t="shared" si="18"/>
        <v>0</v>
      </c>
      <c r="AB229">
        <f t="shared" si="19"/>
        <v>0</v>
      </c>
    </row>
    <row r="230" spans="1:28" ht="25.5" x14ac:dyDescent="0.25">
      <c r="A230" s="7">
        <v>229</v>
      </c>
      <c r="B230" s="7" t="s">
        <v>15</v>
      </c>
      <c r="C230" s="7" t="s">
        <v>85</v>
      </c>
      <c r="D230" s="7" t="s">
        <v>326</v>
      </c>
      <c r="E230" s="7"/>
      <c r="F230" s="8"/>
      <c r="G230" s="7" t="s">
        <v>326</v>
      </c>
      <c r="H230" s="9">
        <v>36.830173000000002</v>
      </c>
      <c r="I230" s="9">
        <v>9.8553160000000002</v>
      </c>
      <c r="J230" s="7" t="s">
        <v>87</v>
      </c>
      <c r="K230" s="7" t="s">
        <v>37</v>
      </c>
      <c r="L230" s="7"/>
      <c r="M230" s="10">
        <v>3.99</v>
      </c>
      <c r="N230" s="7" t="s">
        <v>74</v>
      </c>
      <c r="O230" s="7"/>
      <c r="P230" s="8" t="s">
        <v>39</v>
      </c>
      <c r="Q230">
        <v>4.71</v>
      </c>
      <c r="R230">
        <v>32.200000000000003</v>
      </c>
      <c r="S230" t="s">
        <v>58</v>
      </c>
      <c r="T230">
        <v>10</v>
      </c>
      <c r="U230">
        <f t="shared" si="15"/>
        <v>47.1</v>
      </c>
      <c r="V230">
        <v>0.81</v>
      </c>
      <c r="W230">
        <v>0</v>
      </c>
      <c r="X230">
        <v>0</v>
      </c>
      <c r="Y230">
        <f t="shared" si="16"/>
        <v>0</v>
      </c>
      <c r="Z230">
        <f t="shared" si="17"/>
        <v>38.151000000000003</v>
      </c>
      <c r="AA230">
        <f t="shared" si="18"/>
        <v>38.151000000000003</v>
      </c>
      <c r="AB230">
        <f t="shared" si="19"/>
        <v>152.22249000000002</v>
      </c>
    </row>
    <row r="231" spans="1:28" ht="25.5" x14ac:dyDescent="0.25">
      <c r="A231" s="7">
        <v>230</v>
      </c>
      <c r="B231" s="7" t="s">
        <v>15</v>
      </c>
      <c r="C231" s="7" t="s">
        <v>88</v>
      </c>
      <c r="D231" s="7" t="s">
        <v>327</v>
      </c>
      <c r="E231" s="7"/>
      <c r="F231" s="8"/>
      <c r="G231" s="7" t="s">
        <v>327</v>
      </c>
      <c r="H231" s="9">
        <v>33.819682999999998</v>
      </c>
      <c r="I231" s="9">
        <v>10.98789</v>
      </c>
      <c r="J231" s="7" t="s">
        <v>90</v>
      </c>
      <c r="K231" s="7" t="s">
        <v>37</v>
      </c>
      <c r="L231" s="7"/>
      <c r="M231" s="10">
        <v>21.7</v>
      </c>
      <c r="N231" s="7" t="s">
        <v>78</v>
      </c>
      <c r="O231" s="7"/>
      <c r="P231" s="8" t="s">
        <v>39</v>
      </c>
      <c r="Q231">
        <v>6.68</v>
      </c>
      <c r="R231">
        <v>44.2</v>
      </c>
      <c r="S231" t="s">
        <v>40</v>
      </c>
      <c r="T231">
        <v>14</v>
      </c>
      <c r="U231">
        <f t="shared" si="15"/>
        <v>93.52</v>
      </c>
      <c r="V231">
        <v>0.6</v>
      </c>
      <c r="W231">
        <v>160</v>
      </c>
      <c r="X231">
        <v>0.35</v>
      </c>
      <c r="Y231">
        <f t="shared" si="16"/>
        <v>56</v>
      </c>
      <c r="Z231">
        <f t="shared" si="17"/>
        <v>56.111999999999995</v>
      </c>
      <c r="AA231">
        <f t="shared" si="18"/>
        <v>0.11199999999999477</v>
      </c>
      <c r="AB231">
        <f t="shared" si="19"/>
        <v>2.4303999999998864</v>
      </c>
    </row>
    <row r="232" spans="1:28" ht="25.5" x14ac:dyDescent="0.25">
      <c r="A232" s="7">
        <v>231</v>
      </c>
      <c r="B232" s="7" t="s">
        <v>15</v>
      </c>
      <c r="C232" s="7" t="s">
        <v>92</v>
      </c>
      <c r="D232" s="7" t="s">
        <v>328</v>
      </c>
      <c r="E232" s="7"/>
      <c r="F232" s="8"/>
      <c r="G232" s="7" t="s">
        <v>328</v>
      </c>
      <c r="H232" s="9">
        <v>35.635486999999998</v>
      </c>
      <c r="I232" s="9">
        <v>10.741633999999999</v>
      </c>
      <c r="J232" s="7" t="s">
        <v>94</v>
      </c>
      <c r="K232" s="7" t="s">
        <v>37</v>
      </c>
      <c r="L232" s="7"/>
      <c r="M232" s="10">
        <v>5.36</v>
      </c>
      <c r="N232" s="7" t="s">
        <v>38</v>
      </c>
      <c r="O232" s="7"/>
      <c r="P232" s="8" t="s">
        <v>39</v>
      </c>
      <c r="Q232">
        <v>6.78</v>
      </c>
      <c r="R232">
        <v>19.600000000000001</v>
      </c>
      <c r="S232" t="s">
        <v>53</v>
      </c>
      <c r="T232">
        <v>18</v>
      </c>
      <c r="U232">
        <f t="shared" si="15"/>
        <v>122.04</v>
      </c>
      <c r="V232">
        <v>1.1499999999999999</v>
      </c>
      <c r="W232">
        <v>0</v>
      </c>
      <c r="X232">
        <v>0</v>
      </c>
      <c r="Y232">
        <f t="shared" si="16"/>
        <v>0</v>
      </c>
      <c r="Z232">
        <f t="shared" si="17"/>
        <v>140.346</v>
      </c>
      <c r="AA232">
        <f t="shared" si="18"/>
        <v>140.346</v>
      </c>
      <c r="AB232">
        <f t="shared" si="19"/>
        <v>752.25456000000008</v>
      </c>
    </row>
    <row r="233" spans="1:28" ht="25.5" x14ac:dyDescent="0.25">
      <c r="A233" s="7">
        <v>232</v>
      </c>
      <c r="B233" s="7" t="s">
        <v>15</v>
      </c>
      <c r="C233" s="7" t="s">
        <v>95</v>
      </c>
      <c r="D233" s="7" t="s">
        <v>329</v>
      </c>
      <c r="E233" s="7"/>
      <c r="F233" s="8"/>
      <c r="G233" s="7" t="s">
        <v>329</v>
      </c>
      <c r="H233" s="9">
        <v>36.541978999999998</v>
      </c>
      <c r="I233" s="9">
        <v>10.872709</v>
      </c>
      <c r="J233" s="7" t="s">
        <v>97</v>
      </c>
      <c r="K233" s="7" t="s">
        <v>37</v>
      </c>
      <c r="L233" s="7"/>
      <c r="M233" s="10">
        <v>19.68</v>
      </c>
      <c r="N233" s="7" t="s">
        <v>44</v>
      </c>
      <c r="O233" s="7"/>
      <c r="P233" s="8" t="s">
        <v>39</v>
      </c>
      <c r="Q233">
        <v>6.25</v>
      </c>
      <c r="R233">
        <v>17.399999999999999</v>
      </c>
      <c r="S233" t="s">
        <v>53</v>
      </c>
      <c r="T233">
        <v>18</v>
      </c>
      <c r="U233">
        <f t="shared" si="15"/>
        <v>112.5</v>
      </c>
      <c r="V233">
        <v>1.1499999999999999</v>
      </c>
      <c r="W233">
        <v>160</v>
      </c>
      <c r="X233">
        <v>0.35</v>
      </c>
      <c r="Y233">
        <f t="shared" si="16"/>
        <v>56</v>
      </c>
      <c r="Z233">
        <f t="shared" si="17"/>
        <v>129.375</v>
      </c>
      <c r="AA233">
        <f t="shared" si="18"/>
        <v>73.375</v>
      </c>
      <c r="AB233">
        <f t="shared" si="19"/>
        <v>1444.02</v>
      </c>
    </row>
    <row r="234" spans="1:28" ht="25.5" x14ac:dyDescent="0.25">
      <c r="A234" s="7">
        <v>233</v>
      </c>
      <c r="B234" s="7" t="s">
        <v>15</v>
      </c>
      <c r="C234" s="7" t="s">
        <v>98</v>
      </c>
      <c r="D234" s="7" t="s">
        <v>330</v>
      </c>
      <c r="E234" s="7"/>
      <c r="F234" s="8"/>
      <c r="G234" s="7" t="s">
        <v>330</v>
      </c>
      <c r="H234" s="9">
        <v>34.75056</v>
      </c>
      <c r="I234" s="9">
        <v>10.498120999999999</v>
      </c>
      <c r="J234" s="7" t="s">
        <v>100</v>
      </c>
      <c r="K234" s="7" t="s">
        <v>37</v>
      </c>
      <c r="L234" s="7"/>
      <c r="M234" s="10">
        <v>9.77</v>
      </c>
      <c r="N234" s="7" t="s">
        <v>48</v>
      </c>
      <c r="O234" s="7"/>
      <c r="P234" s="8" t="s">
        <v>39</v>
      </c>
      <c r="Q234">
        <v>6.25</v>
      </c>
      <c r="R234">
        <v>33.4</v>
      </c>
      <c r="S234" t="s">
        <v>58</v>
      </c>
      <c r="T234">
        <v>16</v>
      </c>
      <c r="U234">
        <f t="shared" si="15"/>
        <v>100</v>
      </c>
      <c r="V234">
        <v>0.81</v>
      </c>
      <c r="W234">
        <v>120</v>
      </c>
      <c r="X234">
        <v>0.35</v>
      </c>
      <c r="Y234">
        <f t="shared" si="16"/>
        <v>42</v>
      </c>
      <c r="Z234">
        <f t="shared" si="17"/>
        <v>81</v>
      </c>
      <c r="AA234">
        <f t="shared" si="18"/>
        <v>39</v>
      </c>
      <c r="AB234">
        <f t="shared" si="19"/>
        <v>381.03</v>
      </c>
    </row>
    <row r="235" spans="1:28" ht="25.5" x14ac:dyDescent="0.25">
      <c r="A235" s="7">
        <v>234</v>
      </c>
      <c r="B235" s="7" t="s">
        <v>15</v>
      </c>
      <c r="C235" s="7" t="s">
        <v>101</v>
      </c>
      <c r="D235" s="7" t="s">
        <v>331</v>
      </c>
      <c r="E235" s="7"/>
      <c r="F235" s="8"/>
      <c r="G235" s="7" t="s">
        <v>331</v>
      </c>
      <c r="H235" s="9">
        <v>34.917780999999998</v>
      </c>
      <c r="I235" s="9">
        <v>9.7587340000000005</v>
      </c>
      <c r="J235" s="7" t="s">
        <v>103</v>
      </c>
      <c r="K235" s="7" t="s">
        <v>37</v>
      </c>
      <c r="L235" s="7"/>
      <c r="M235" s="10">
        <v>17.14</v>
      </c>
      <c r="N235" s="7" t="s">
        <v>52</v>
      </c>
      <c r="O235" s="7"/>
      <c r="P235" s="8" t="s">
        <v>39</v>
      </c>
      <c r="Q235">
        <v>2.58</v>
      </c>
      <c r="R235">
        <v>14.8</v>
      </c>
      <c r="S235" t="s">
        <v>91</v>
      </c>
      <c r="T235">
        <v>12</v>
      </c>
      <c r="U235">
        <f t="shared" si="15"/>
        <v>30.96</v>
      </c>
      <c r="V235">
        <v>1.49</v>
      </c>
      <c r="W235">
        <v>160</v>
      </c>
      <c r="X235">
        <v>0.35</v>
      </c>
      <c r="Y235">
        <f t="shared" si="16"/>
        <v>56</v>
      </c>
      <c r="Z235">
        <f t="shared" si="17"/>
        <v>46.130400000000002</v>
      </c>
      <c r="AA235">
        <f t="shared" si="18"/>
        <v>0</v>
      </c>
      <c r="AB235">
        <f t="shared" si="19"/>
        <v>0</v>
      </c>
    </row>
    <row r="236" spans="1:28" ht="25.5" x14ac:dyDescent="0.25">
      <c r="A236" s="7">
        <v>235</v>
      </c>
      <c r="B236" s="7" t="s">
        <v>15</v>
      </c>
      <c r="C236" s="7" t="s">
        <v>104</v>
      </c>
      <c r="D236" s="7" t="s">
        <v>332</v>
      </c>
      <c r="E236" s="7"/>
      <c r="F236" s="8"/>
      <c r="G236" s="7" t="s">
        <v>332</v>
      </c>
      <c r="H236" s="9">
        <v>35.827978999999999</v>
      </c>
      <c r="I236" s="9">
        <v>9.2194350000000007</v>
      </c>
      <c r="J236" s="7" t="s">
        <v>106</v>
      </c>
      <c r="K236" s="7" t="s">
        <v>37</v>
      </c>
      <c r="L236" s="7"/>
      <c r="M236" s="10">
        <v>5.81</v>
      </c>
      <c r="N236" s="7" t="s">
        <v>57</v>
      </c>
      <c r="O236" s="7"/>
      <c r="P236" s="8" t="s">
        <v>39</v>
      </c>
      <c r="Q236">
        <v>7.42</v>
      </c>
      <c r="R236">
        <v>44.4</v>
      </c>
      <c r="S236" t="s">
        <v>40</v>
      </c>
      <c r="T236">
        <v>8</v>
      </c>
      <c r="U236">
        <f t="shared" si="15"/>
        <v>59.36</v>
      </c>
      <c r="V236">
        <v>0.72</v>
      </c>
      <c r="W236">
        <v>120</v>
      </c>
      <c r="X236">
        <v>0.35</v>
      </c>
      <c r="Y236">
        <f t="shared" si="16"/>
        <v>42</v>
      </c>
      <c r="Z236">
        <f t="shared" si="17"/>
        <v>42.739199999999997</v>
      </c>
      <c r="AA236">
        <f t="shared" si="18"/>
        <v>0.73919999999999675</v>
      </c>
      <c r="AB236">
        <f t="shared" si="19"/>
        <v>4.2947519999999813</v>
      </c>
    </row>
    <row r="237" spans="1:28" ht="25.5" x14ac:dyDescent="0.25">
      <c r="A237" s="7">
        <v>236</v>
      </c>
      <c r="B237" s="7" t="s">
        <v>15</v>
      </c>
      <c r="C237" s="7" t="s">
        <v>107</v>
      </c>
      <c r="D237" s="7" t="s">
        <v>333</v>
      </c>
      <c r="E237" s="7"/>
      <c r="F237" s="8"/>
      <c r="G237" s="7" t="s">
        <v>333</v>
      </c>
      <c r="H237" s="9">
        <v>36.135404999999999</v>
      </c>
      <c r="I237" s="9">
        <v>10.363676</v>
      </c>
      <c r="J237" s="7" t="s">
        <v>109</v>
      </c>
      <c r="K237" s="7" t="s">
        <v>37</v>
      </c>
      <c r="L237" s="7"/>
      <c r="M237" s="10">
        <v>20.239999999999998</v>
      </c>
      <c r="N237" s="7" t="s">
        <v>62</v>
      </c>
      <c r="O237" s="7"/>
      <c r="P237" s="8" t="s">
        <v>39</v>
      </c>
      <c r="Q237">
        <v>5.94</v>
      </c>
      <c r="R237">
        <v>11.5</v>
      </c>
      <c r="S237" t="s">
        <v>91</v>
      </c>
      <c r="T237">
        <v>7</v>
      </c>
      <c r="U237">
        <f t="shared" si="15"/>
        <v>41.580000000000005</v>
      </c>
      <c r="V237">
        <v>1.49</v>
      </c>
      <c r="W237">
        <v>160</v>
      </c>
      <c r="X237">
        <v>0.35</v>
      </c>
      <c r="Y237">
        <f t="shared" si="16"/>
        <v>56</v>
      </c>
      <c r="Z237">
        <f t="shared" si="17"/>
        <v>61.954200000000007</v>
      </c>
      <c r="AA237">
        <f t="shared" si="18"/>
        <v>5.9542000000000073</v>
      </c>
      <c r="AB237">
        <f t="shared" si="19"/>
        <v>120.51300800000014</v>
      </c>
    </row>
    <row r="238" spans="1:28" ht="25.5" x14ac:dyDescent="0.25">
      <c r="A238" s="7">
        <v>237</v>
      </c>
      <c r="B238" s="7" t="s">
        <v>15</v>
      </c>
      <c r="C238" s="7" t="s">
        <v>110</v>
      </c>
      <c r="D238" s="7" t="s">
        <v>334</v>
      </c>
      <c r="E238" s="7"/>
      <c r="F238" s="8"/>
      <c r="G238" s="7" t="s">
        <v>334</v>
      </c>
      <c r="H238" s="9">
        <v>33.175612000000001</v>
      </c>
      <c r="I238" s="9">
        <v>10.234591</v>
      </c>
      <c r="J238" s="7" t="s">
        <v>112</v>
      </c>
      <c r="K238" s="7" t="s">
        <v>37</v>
      </c>
      <c r="L238" s="7"/>
      <c r="M238" s="10">
        <v>7.77</v>
      </c>
      <c r="N238" s="7" t="s">
        <v>66</v>
      </c>
      <c r="O238" s="7"/>
      <c r="P238" s="8" t="s">
        <v>39</v>
      </c>
      <c r="Q238">
        <v>2.93</v>
      </c>
      <c r="R238">
        <v>21.2</v>
      </c>
      <c r="S238" t="s">
        <v>53</v>
      </c>
      <c r="T238">
        <v>10</v>
      </c>
      <c r="U238">
        <f t="shared" si="15"/>
        <v>29.3</v>
      </c>
      <c r="V238">
        <v>0.92</v>
      </c>
      <c r="W238">
        <v>160</v>
      </c>
      <c r="X238">
        <v>0.35</v>
      </c>
      <c r="Y238">
        <f t="shared" si="16"/>
        <v>56</v>
      </c>
      <c r="Z238">
        <f t="shared" si="17"/>
        <v>26.956000000000003</v>
      </c>
      <c r="AA238">
        <f t="shared" si="18"/>
        <v>0</v>
      </c>
      <c r="AB238">
        <f t="shared" si="19"/>
        <v>0</v>
      </c>
    </row>
    <row r="239" spans="1:28" ht="25.5" x14ac:dyDescent="0.25">
      <c r="A239" s="7">
        <v>238</v>
      </c>
      <c r="B239" s="7" t="s">
        <v>15</v>
      </c>
      <c r="C239" s="7" t="s">
        <v>113</v>
      </c>
      <c r="D239" s="7" t="s">
        <v>335</v>
      </c>
      <c r="E239" s="7"/>
      <c r="F239" s="8"/>
      <c r="G239" s="7" t="s">
        <v>335</v>
      </c>
      <c r="H239" s="9">
        <v>33.865533999999997</v>
      </c>
      <c r="I239" s="9">
        <v>7.8587230000000003</v>
      </c>
      <c r="J239" s="7" t="s">
        <v>115</v>
      </c>
      <c r="K239" s="7" t="s">
        <v>37</v>
      </c>
      <c r="L239" s="7"/>
      <c r="M239" s="10">
        <v>21.59</v>
      </c>
      <c r="N239" s="7" t="s">
        <v>70</v>
      </c>
      <c r="O239" s="7"/>
      <c r="P239" s="8" t="s">
        <v>39</v>
      </c>
      <c r="Q239">
        <v>2.73</v>
      </c>
      <c r="R239">
        <v>34.1</v>
      </c>
      <c r="S239" t="s">
        <v>58</v>
      </c>
      <c r="T239">
        <v>9</v>
      </c>
      <c r="U239">
        <f t="shared" si="15"/>
        <v>24.57</v>
      </c>
      <c r="V239">
        <v>0.81</v>
      </c>
      <c r="W239">
        <v>50</v>
      </c>
      <c r="X239">
        <v>0.35</v>
      </c>
      <c r="Y239">
        <f t="shared" si="16"/>
        <v>17.5</v>
      </c>
      <c r="Z239">
        <f t="shared" si="17"/>
        <v>19.901700000000002</v>
      </c>
      <c r="AA239">
        <f t="shared" si="18"/>
        <v>2.4017000000000017</v>
      </c>
      <c r="AB239">
        <f t="shared" si="19"/>
        <v>51.852703000000034</v>
      </c>
    </row>
    <row r="240" spans="1:28" ht="25.5" x14ac:dyDescent="0.25">
      <c r="A240" s="7">
        <v>239</v>
      </c>
      <c r="B240" s="7" t="s">
        <v>15</v>
      </c>
      <c r="C240" s="7" t="s">
        <v>116</v>
      </c>
      <c r="D240" s="7" t="s">
        <v>336</v>
      </c>
      <c r="E240" s="7"/>
      <c r="F240" s="8"/>
      <c r="G240" s="7" t="s">
        <v>336</v>
      </c>
      <c r="H240" s="9">
        <v>36.848368999999998</v>
      </c>
      <c r="I240" s="9">
        <v>10.331283000000001</v>
      </c>
      <c r="J240" s="7" t="s">
        <v>118</v>
      </c>
      <c r="K240" s="7" t="s">
        <v>37</v>
      </c>
      <c r="L240" s="7"/>
      <c r="M240" s="10">
        <v>17.14</v>
      </c>
      <c r="N240" s="7" t="s">
        <v>74</v>
      </c>
      <c r="O240" s="7"/>
      <c r="P240" s="8" t="s">
        <v>39</v>
      </c>
      <c r="Q240">
        <v>7.81</v>
      </c>
      <c r="R240">
        <v>23.5</v>
      </c>
      <c r="S240" t="s">
        <v>53</v>
      </c>
      <c r="T240">
        <v>10</v>
      </c>
      <c r="U240">
        <f t="shared" si="15"/>
        <v>78.099999999999994</v>
      </c>
      <c r="V240">
        <v>1.03</v>
      </c>
      <c r="W240">
        <v>160</v>
      </c>
      <c r="X240">
        <v>0.35</v>
      </c>
      <c r="Y240">
        <f t="shared" si="16"/>
        <v>56</v>
      </c>
      <c r="Z240">
        <f t="shared" si="17"/>
        <v>80.442999999999998</v>
      </c>
      <c r="AA240">
        <f t="shared" si="18"/>
        <v>24.442999999999998</v>
      </c>
      <c r="AB240">
        <f t="shared" si="19"/>
        <v>418.95301999999998</v>
      </c>
    </row>
    <row r="241" spans="1:28" ht="25.5" x14ac:dyDescent="0.25">
      <c r="A241" s="7">
        <v>240</v>
      </c>
      <c r="B241" s="7" t="s">
        <v>15</v>
      </c>
      <c r="C241" s="7" t="s">
        <v>119</v>
      </c>
      <c r="D241" s="7" t="s">
        <v>337</v>
      </c>
      <c r="E241" s="7"/>
      <c r="F241" s="8"/>
      <c r="G241" s="7" t="s">
        <v>337</v>
      </c>
      <c r="H241" s="9">
        <v>36.374948000000003</v>
      </c>
      <c r="I241" s="9">
        <v>9.6404180000000004</v>
      </c>
      <c r="J241" s="7" t="s">
        <v>121</v>
      </c>
      <c r="K241" s="7" t="s">
        <v>37</v>
      </c>
      <c r="L241" s="7"/>
      <c r="M241" s="10">
        <v>14.53</v>
      </c>
      <c r="N241" s="7" t="s">
        <v>78</v>
      </c>
      <c r="O241" s="7"/>
      <c r="P241" s="8" t="s">
        <v>39</v>
      </c>
      <c r="Q241">
        <v>5.67</v>
      </c>
      <c r="R241">
        <v>26.6</v>
      </c>
      <c r="S241" t="s">
        <v>58</v>
      </c>
      <c r="T241">
        <v>14</v>
      </c>
      <c r="U241">
        <f t="shared" si="15"/>
        <v>79.38</v>
      </c>
      <c r="V241">
        <v>0.9</v>
      </c>
      <c r="W241">
        <v>80</v>
      </c>
      <c r="X241">
        <v>0.35</v>
      </c>
      <c r="Y241">
        <f t="shared" si="16"/>
        <v>28</v>
      </c>
      <c r="Z241">
        <f t="shared" si="17"/>
        <v>71.441999999999993</v>
      </c>
      <c r="AA241">
        <f t="shared" si="18"/>
        <v>43.441999999999993</v>
      </c>
      <c r="AB241">
        <f t="shared" si="19"/>
        <v>631.2122599999999</v>
      </c>
    </row>
    <row r="242" spans="1:28" ht="25.5" x14ac:dyDescent="0.25">
      <c r="A242" s="7">
        <v>241</v>
      </c>
      <c r="B242" s="7" t="s">
        <v>15</v>
      </c>
      <c r="C242" s="7" t="s">
        <v>34</v>
      </c>
      <c r="D242" s="7" t="s">
        <v>338</v>
      </c>
      <c r="E242" s="7"/>
      <c r="F242" s="8"/>
      <c r="G242" s="7" t="s">
        <v>338</v>
      </c>
      <c r="H242" s="9">
        <v>36.890873999999997</v>
      </c>
      <c r="I242" s="9">
        <v>10.218168</v>
      </c>
      <c r="J242" s="7" t="s">
        <v>36</v>
      </c>
      <c r="K242" s="7" t="s">
        <v>37</v>
      </c>
      <c r="L242" s="7"/>
      <c r="M242" s="10">
        <v>5.88</v>
      </c>
      <c r="N242" s="7" t="s">
        <v>38</v>
      </c>
      <c r="O242" s="7"/>
      <c r="P242" s="8" t="s">
        <v>39</v>
      </c>
      <c r="Q242">
        <v>1.88</v>
      </c>
      <c r="R242">
        <v>10.4</v>
      </c>
      <c r="S242" t="s">
        <v>91</v>
      </c>
      <c r="T242">
        <v>18</v>
      </c>
      <c r="U242">
        <f t="shared" si="15"/>
        <v>33.839999999999996</v>
      </c>
      <c r="V242">
        <v>1.35</v>
      </c>
      <c r="W242">
        <v>80</v>
      </c>
      <c r="X242">
        <v>0.35</v>
      </c>
      <c r="Y242">
        <f t="shared" si="16"/>
        <v>28</v>
      </c>
      <c r="Z242">
        <f t="shared" si="17"/>
        <v>45.683999999999997</v>
      </c>
      <c r="AA242">
        <f t="shared" si="18"/>
        <v>17.683999999999997</v>
      </c>
      <c r="AB242">
        <f t="shared" si="19"/>
        <v>103.98191999999999</v>
      </c>
    </row>
    <row r="243" spans="1:28" ht="25.5" x14ac:dyDescent="0.25">
      <c r="A243" s="7">
        <v>242</v>
      </c>
      <c r="B243" s="7" t="s">
        <v>15</v>
      </c>
      <c r="C243" s="7" t="s">
        <v>41</v>
      </c>
      <c r="D243" s="7" t="s">
        <v>339</v>
      </c>
      <c r="E243" s="7"/>
      <c r="F243" s="8"/>
      <c r="G243" s="7" t="s">
        <v>339</v>
      </c>
      <c r="H243" s="9">
        <v>36.635165999999998</v>
      </c>
      <c r="I243" s="9">
        <v>9.6007599999999993</v>
      </c>
      <c r="J243" s="7" t="s">
        <v>43</v>
      </c>
      <c r="K243" s="7" t="s">
        <v>37</v>
      </c>
      <c r="L243" s="7"/>
      <c r="M243" s="10">
        <v>15.13</v>
      </c>
      <c r="N243" s="7" t="s">
        <v>44</v>
      </c>
      <c r="O243" s="7"/>
      <c r="P243" s="8" t="s">
        <v>39</v>
      </c>
      <c r="Q243">
        <v>7.98</v>
      </c>
      <c r="R243">
        <v>44.9</v>
      </c>
      <c r="S243" t="s">
        <v>40</v>
      </c>
      <c r="T243">
        <v>18</v>
      </c>
      <c r="U243">
        <f t="shared" si="15"/>
        <v>143.64000000000001</v>
      </c>
      <c r="V243">
        <v>0.6</v>
      </c>
      <c r="W243">
        <v>0</v>
      </c>
      <c r="X243">
        <v>0</v>
      </c>
      <c r="Y243">
        <f t="shared" si="16"/>
        <v>0</v>
      </c>
      <c r="Z243">
        <f t="shared" si="17"/>
        <v>86.184000000000012</v>
      </c>
      <c r="AA243">
        <f t="shared" si="18"/>
        <v>86.184000000000012</v>
      </c>
      <c r="AB243">
        <f t="shared" si="19"/>
        <v>1303.9639200000001</v>
      </c>
    </row>
    <row r="244" spans="1:28" ht="25.5" x14ac:dyDescent="0.25">
      <c r="A244" s="7">
        <v>243</v>
      </c>
      <c r="B244" s="7" t="s">
        <v>15</v>
      </c>
      <c r="C244" s="7" t="s">
        <v>45</v>
      </c>
      <c r="D244" s="7" t="s">
        <v>340</v>
      </c>
      <c r="E244" s="7"/>
      <c r="F244" s="8"/>
      <c r="G244" s="7" t="s">
        <v>340</v>
      </c>
      <c r="H244" s="9">
        <v>36.610432000000003</v>
      </c>
      <c r="I244" s="9">
        <v>10.318588999999999</v>
      </c>
      <c r="J244" s="7" t="s">
        <v>47</v>
      </c>
      <c r="K244" s="7" t="s">
        <v>37</v>
      </c>
      <c r="L244" s="7"/>
      <c r="M244" s="10">
        <v>14.32</v>
      </c>
      <c r="N244" s="7" t="s">
        <v>48</v>
      </c>
      <c r="O244" s="7"/>
      <c r="P244" s="8" t="s">
        <v>39</v>
      </c>
      <c r="Q244">
        <v>3.71</v>
      </c>
      <c r="R244">
        <v>19.7</v>
      </c>
      <c r="S244" t="s">
        <v>53</v>
      </c>
      <c r="T244">
        <v>16</v>
      </c>
      <c r="U244">
        <f t="shared" si="15"/>
        <v>59.36</v>
      </c>
      <c r="V244">
        <v>1.03</v>
      </c>
      <c r="W244">
        <v>0</v>
      </c>
      <c r="X244">
        <v>0</v>
      </c>
      <c r="Y244">
        <f t="shared" si="16"/>
        <v>0</v>
      </c>
      <c r="Z244">
        <f t="shared" si="17"/>
        <v>61.140799999999999</v>
      </c>
      <c r="AA244">
        <f t="shared" si="18"/>
        <v>61.140799999999999</v>
      </c>
      <c r="AB244">
        <f t="shared" si="19"/>
        <v>875.53625599999998</v>
      </c>
    </row>
    <row r="245" spans="1:28" ht="25.5" x14ac:dyDescent="0.25">
      <c r="A245" s="7">
        <v>244</v>
      </c>
      <c r="B245" s="7" t="s">
        <v>15</v>
      </c>
      <c r="C245" s="7" t="s">
        <v>49</v>
      </c>
      <c r="D245" s="7" t="s">
        <v>341</v>
      </c>
      <c r="E245" s="7"/>
      <c r="F245" s="8"/>
      <c r="G245" s="7" t="s">
        <v>341</v>
      </c>
      <c r="H245" s="9">
        <v>37.131028999999998</v>
      </c>
      <c r="I245" s="9">
        <v>9.776548</v>
      </c>
      <c r="J245" s="7" t="s">
        <v>51</v>
      </c>
      <c r="K245" s="7" t="s">
        <v>37</v>
      </c>
      <c r="L245" s="7"/>
      <c r="M245" s="10">
        <v>4.72</v>
      </c>
      <c r="N245" s="7" t="s">
        <v>52</v>
      </c>
      <c r="O245" s="7"/>
      <c r="P245" s="8" t="s">
        <v>39</v>
      </c>
      <c r="Q245">
        <v>4.58</v>
      </c>
      <c r="R245">
        <v>28.3</v>
      </c>
      <c r="S245" t="s">
        <v>58</v>
      </c>
      <c r="T245">
        <v>12</v>
      </c>
      <c r="U245">
        <f t="shared" si="15"/>
        <v>54.96</v>
      </c>
      <c r="V245">
        <v>0.99</v>
      </c>
      <c r="W245">
        <v>50</v>
      </c>
      <c r="X245">
        <v>0.35</v>
      </c>
      <c r="Y245">
        <f t="shared" si="16"/>
        <v>17.5</v>
      </c>
      <c r="Z245">
        <f t="shared" si="17"/>
        <v>54.410400000000003</v>
      </c>
      <c r="AA245">
        <f t="shared" si="18"/>
        <v>36.910400000000003</v>
      </c>
      <c r="AB245">
        <f t="shared" si="19"/>
        <v>174.21708799999999</v>
      </c>
    </row>
    <row r="246" spans="1:28" ht="25.5" x14ac:dyDescent="0.25">
      <c r="A246" s="7">
        <v>245</v>
      </c>
      <c r="B246" s="7" t="s">
        <v>15</v>
      </c>
      <c r="C246" s="7" t="s">
        <v>54</v>
      </c>
      <c r="D246" s="7" t="s">
        <v>342</v>
      </c>
      <c r="E246" s="7"/>
      <c r="F246" s="8"/>
      <c r="G246" s="7" t="s">
        <v>342</v>
      </c>
      <c r="H246" s="9">
        <v>33.633215999999997</v>
      </c>
      <c r="I246" s="9">
        <v>10.308062</v>
      </c>
      <c r="J246" s="7" t="s">
        <v>56</v>
      </c>
      <c r="K246" s="7" t="s">
        <v>37</v>
      </c>
      <c r="L246" s="7"/>
      <c r="M246" s="10">
        <v>14.82</v>
      </c>
      <c r="N246" s="7" t="s">
        <v>57</v>
      </c>
      <c r="O246" s="7"/>
      <c r="P246" s="8" t="s">
        <v>39</v>
      </c>
      <c r="Q246">
        <v>2.84</v>
      </c>
      <c r="R246">
        <v>13.9</v>
      </c>
      <c r="S246" t="s">
        <v>91</v>
      </c>
      <c r="T246">
        <v>8</v>
      </c>
      <c r="U246">
        <f t="shared" si="15"/>
        <v>22.72</v>
      </c>
      <c r="V246">
        <v>1.6</v>
      </c>
      <c r="W246">
        <v>0</v>
      </c>
      <c r="X246">
        <v>0</v>
      </c>
      <c r="Y246">
        <f t="shared" si="16"/>
        <v>0</v>
      </c>
      <c r="Z246">
        <f t="shared" si="17"/>
        <v>36.351999999999997</v>
      </c>
      <c r="AA246">
        <f t="shared" si="18"/>
        <v>36.351999999999997</v>
      </c>
      <c r="AB246">
        <f t="shared" si="19"/>
        <v>538.73663999999997</v>
      </c>
    </row>
    <row r="247" spans="1:28" ht="25.5" x14ac:dyDescent="0.25">
      <c r="A247" s="7">
        <v>246</v>
      </c>
      <c r="B247" s="7" t="s">
        <v>15</v>
      </c>
      <c r="C247" s="7" t="s">
        <v>59</v>
      </c>
      <c r="D247" s="7" t="s">
        <v>343</v>
      </c>
      <c r="E247" s="7"/>
      <c r="F247" s="8"/>
      <c r="G247" s="7" t="s">
        <v>343</v>
      </c>
      <c r="H247" s="9">
        <v>34.317681999999998</v>
      </c>
      <c r="I247" s="9">
        <v>8.4069939999999992</v>
      </c>
      <c r="J247" s="7" t="s">
        <v>61</v>
      </c>
      <c r="K247" s="7" t="s">
        <v>37</v>
      </c>
      <c r="L247" s="7"/>
      <c r="M247" s="10">
        <v>15.6</v>
      </c>
      <c r="N247" s="7" t="s">
        <v>62</v>
      </c>
      <c r="O247" s="7"/>
      <c r="P247" s="8" t="s">
        <v>39</v>
      </c>
      <c r="Q247">
        <v>4.7699999999999996</v>
      </c>
      <c r="R247">
        <v>31.4</v>
      </c>
      <c r="S247" t="s">
        <v>58</v>
      </c>
      <c r="T247">
        <v>7</v>
      </c>
      <c r="U247">
        <f t="shared" si="15"/>
        <v>33.39</v>
      </c>
      <c r="V247">
        <v>0.99</v>
      </c>
      <c r="W247">
        <v>0</v>
      </c>
      <c r="X247">
        <v>0</v>
      </c>
      <c r="Y247">
        <f t="shared" si="16"/>
        <v>0</v>
      </c>
      <c r="Z247">
        <f t="shared" si="17"/>
        <v>33.056100000000001</v>
      </c>
      <c r="AA247">
        <f t="shared" si="18"/>
        <v>33.056100000000001</v>
      </c>
      <c r="AB247">
        <f t="shared" si="19"/>
        <v>515.67516000000001</v>
      </c>
    </row>
    <row r="248" spans="1:28" ht="25.5" x14ac:dyDescent="0.25">
      <c r="A248" s="7">
        <v>247</v>
      </c>
      <c r="B248" s="7" t="s">
        <v>15</v>
      </c>
      <c r="C248" s="7" t="s">
        <v>63</v>
      </c>
      <c r="D248" s="7" t="s">
        <v>344</v>
      </c>
      <c r="E248" s="7"/>
      <c r="F248" s="8"/>
      <c r="G248" s="7" t="s">
        <v>344</v>
      </c>
      <c r="H248" s="9">
        <v>36.969487999999998</v>
      </c>
      <c r="I248" s="9">
        <v>8.7559470000000008</v>
      </c>
      <c r="J248" s="7" t="s">
        <v>65</v>
      </c>
      <c r="K248" s="7" t="s">
        <v>37</v>
      </c>
      <c r="L248" s="7"/>
      <c r="M248" s="10">
        <v>5.6</v>
      </c>
      <c r="N248" s="7" t="s">
        <v>66</v>
      </c>
      <c r="O248" s="7"/>
      <c r="P248" s="8" t="s">
        <v>39</v>
      </c>
      <c r="Q248">
        <v>6.62</v>
      </c>
      <c r="R248">
        <v>44.3</v>
      </c>
      <c r="S248" t="s">
        <v>40</v>
      </c>
      <c r="T248">
        <v>10</v>
      </c>
      <c r="U248">
        <f t="shared" si="15"/>
        <v>66.2</v>
      </c>
      <c r="V248">
        <v>0.48</v>
      </c>
      <c r="W248">
        <v>160</v>
      </c>
      <c r="X248">
        <v>0.35</v>
      </c>
      <c r="Y248">
        <f t="shared" si="16"/>
        <v>56</v>
      </c>
      <c r="Z248">
        <f t="shared" si="17"/>
        <v>31.776</v>
      </c>
      <c r="AA248">
        <f t="shared" si="18"/>
        <v>0</v>
      </c>
      <c r="AB248">
        <f t="shared" si="19"/>
        <v>0</v>
      </c>
    </row>
    <row r="249" spans="1:28" ht="25.5" x14ac:dyDescent="0.25">
      <c r="A249" s="7">
        <v>248</v>
      </c>
      <c r="B249" s="7" t="s">
        <v>15</v>
      </c>
      <c r="C249" s="7" t="s">
        <v>67</v>
      </c>
      <c r="D249" s="7" t="s">
        <v>345</v>
      </c>
      <c r="E249" s="7"/>
      <c r="F249" s="8"/>
      <c r="G249" s="7" t="s">
        <v>345</v>
      </c>
      <c r="H249" s="9">
        <v>35.640484999999998</v>
      </c>
      <c r="I249" s="9">
        <v>9.9332879999999992</v>
      </c>
      <c r="J249" s="7" t="s">
        <v>69</v>
      </c>
      <c r="K249" s="7" t="s">
        <v>37</v>
      </c>
      <c r="L249" s="7"/>
      <c r="M249" s="10">
        <v>5.58</v>
      </c>
      <c r="N249" s="7" t="s">
        <v>70</v>
      </c>
      <c r="O249" s="7"/>
      <c r="P249" s="8" t="s">
        <v>39</v>
      </c>
      <c r="Q249">
        <v>7.36</v>
      </c>
      <c r="R249">
        <v>34.799999999999997</v>
      </c>
      <c r="S249" t="s">
        <v>58</v>
      </c>
      <c r="T249">
        <v>9</v>
      </c>
      <c r="U249">
        <f t="shared" si="15"/>
        <v>66.240000000000009</v>
      </c>
      <c r="V249">
        <v>0.81</v>
      </c>
      <c r="W249">
        <v>0</v>
      </c>
      <c r="X249">
        <v>0</v>
      </c>
      <c r="Y249">
        <f t="shared" si="16"/>
        <v>0</v>
      </c>
      <c r="Z249">
        <f t="shared" si="17"/>
        <v>53.65440000000001</v>
      </c>
      <c r="AA249">
        <f t="shared" si="18"/>
        <v>53.65440000000001</v>
      </c>
      <c r="AB249">
        <f t="shared" si="19"/>
        <v>299.39155200000005</v>
      </c>
    </row>
    <row r="250" spans="1:28" ht="25.5" x14ac:dyDescent="0.25">
      <c r="A250" s="7">
        <v>249</v>
      </c>
      <c r="B250" s="7" t="s">
        <v>15</v>
      </c>
      <c r="C250" s="7" t="s">
        <v>71</v>
      </c>
      <c r="D250" s="7" t="s">
        <v>346</v>
      </c>
      <c r="E250" s="7"/>
      <c r="F250" s="8"/>
      <c r="G250" s="7" t="s">
        <v>346</v>
      </c>
      <c r="H250" s="9">
        <v>35.242713000000002</v>
      </c>
      <c r="I250" s="9">
        <v>9.1082640000000001</v>
      </c>
      <c r="J250" s="7" t="s">
        <v>73</v>
      </c>
      <c r="K250" s="7" t="s">
        <v>37</v>
      </c>
      <c r="L250" s="7"/>
      <c r="M250" s="10">
        <v>1.74</v>
      </c>
      <c r="N250" s="7" t="s">
        <v>74</v>
      </c>
      <c r="O250" s="7"/>
      <c r="P250" s="8" t="s">
        <v>39</v>
      </c>
      <c r="Q250">
        <v>7.85</v>
      </c>
      <c r="R250">
        <v>38.700000000000003</v>
      </c>
      <c r="S250" t="s">
        <v>40</v>
      </c>
      <c r="T250">
        <v>10</v>
      </c>
      <c r="U250">
        <f t="shared" si="15"/>
        <v>78.5</v>
      </c>
      <c r="V250">
        <v>0.54</v>
      </c>
      <c r="W250">
        <v>0</v>
      </c>
      <c r="X250">
        <v>0</v>
      </c>
      <c r="Y250">
        <f t="shared" si="16"/>
        <v>0</v>
      </c>
      <c r="Z250">
        <f t="shared" si="17"/>
        <v>42.39</v>
      </c>
      <c r="AA250">
        <f t="shared" si="18"/>
        <v>42.39</v>
      </c>
      <c r="AB250">
        <f t="shared" si="19"/>
        <v>73.758600000000001</v>
      </c>
    </row>
    <row r="251" spans="1:28" ht="25.5" x14ac:dyDescent="0.25">
      <c r="A251" s="7">
        <v>250</v>
      </c>
      <c r="B251" s="7" t="s">
        <v>15</v>
      </c>
      <c r="C251" s="7" t="s">
        <v>75</v>
      </c>
      <c r="D251" s="7" t="s">
        <v>347</v>
      </c>
      <c r="E251" s="7"/>
      <c r="F251" s="8"/>
      <c r="G251" s="7" t="s">
        <v>347</v>
      </c>
      <c r="H251" s="9">
        <v>33.477071000000002</v>
      </c>
      <c r="I251" s="9">
        <v>9.0077479999999994</v>
      </c>
      <c r="J251" s="7" t="s">
        <v>77</v>
      </c>
      <c r="K251" s="7" t="s">
        <v>37</v>
      </c>
      <c r="L251" s="7"/>
      <c r="M251" s="10">
        <v>24.98</v>
      </c>
      <c r="N251" s="7" t="s">
        <v>78</v>
      </c>
      <c r="O251" s="7"/>
      <c r="P251" s="8" t="s">
        <v>39</v>
      </c>
      <c r="Q251">
        <v>7.76</v>
      </c>
      <c r="R251">
        <v>42.7</v>
      </c>
      <c r="S251" t="s">
        <v>40</v>
      </c>
      <c r="T251">
        <v>14</v>
      </c>
      <c r="U251">
        <f t="shared" si="15"/>
        <v>108.64</v>
      </c>
      <c r="V251">
        <v>0.6</v>
      </c>
      <c r="W251">
        <v>0</v>
      </c>
      <c r="X251">
        <v>0</v>
      </c>
      <c r="Y251">
        <f t="shared" si="16"/>
        <v>0</v>
      </c>
      <c r="Z251">
        <f t="shared" si="17"/>
        <v>65.183999999999997</v>
      </c>
      <c r="AA251">
        <f t="shared" si="18"/>
        <v>65.183999999999997</v>
      </c>
      <c r="AB251">
        <f t="shared" si="19"/>
        <v>1628.2963199999999</v>
      </c>
    </row>
    <row r="252" spans="1:28" ht="25.5" x14ac:dyDescent="0.25">
      <c r="A252" s="7">
        <v>251</v>
      </c>
      <c r="B252" s="7" t="s">
        <v>15</v>
      </c>
      <c r="C252" s="7" t="s">
        <v>79</v>
      </c>
      <c r="D252" s="7" t="s">
        <v>348</v>
      </c>
      <c r="E252" s="7"/>
      <c r="F252" s="8"/>
      <c r="G252" s="7" t="s">
        <v>348</v>
      </c>
      <c r="H252" s="9">
        <v>35.952168</v>
      </c>
      <c r="I252" s="9">
        <v>8.8370139999999999</v>
      </c>
      <c r="J252" s="7" t="s">
        <v>81</v>
      </c>
      <c r="K252" s="7" t="s">
        <v>37</v>
      </c>
      <c r="L252" s="7"/>
      <c r="M252" s="10">
        <v>13.47</v>
      </c>
      <c r="N252" s="7" t="s">
        <v>38</v>
      </c>
      <c r="O252" s="7"/>
      <c r="P252" s="8" t="s">
        <v>39</v>
      </c>
      <c r="Q252">
        <v>5.22</v>
      </c>
      <c r="R252">
        <v>28.1</v>
      </c>
      <c r="S252" t="s">
        <v>58</v>
      </c>
      <c r="T252">
        <v>18</v>
      </c>
      <c r="U252">
        <f t="shared" si="15"/>
        <v>93.96</v>
      </c>
      <c r="V252">
        <v>0.9</v>
      </c>
      <c r="W252">
        <v>120</v>
      </c>
      <c r="X252">
        <v>0.35</v>
      </c>
      <c r="Y252">
        <f t="shared" si="16"/>
        <v>42</v>
      </c>
      <c r="Z252">
        <f t="shared" si="17"/>
        <v>84.563999999999993</v>
      </c>
      <c r="AA252">
        <f t="shared" si="18"/>
        <v>42.563999999999993</v>
      </c>
      <c r="AB252">
        <f t="shared" si="19"/>
        <v>573.3370799999999</v>
      </c>
    </row>
    <row r="253" spans="1:28" ht="25.5" x14ac:dyDescent="0.25">
      <c r="A253" s="7">
        <v>252</v>
      </c>
      <c r="B253" s="7" t="s">
        <v>15</v>
      </c>
      <c r="C253" s="7" t="s">
        <v>82</v>
      </c>
      <c r="D253" s="7" t="s">
        <v>349</v>
      </c>
      <c r="E253" s="7"/>
      <c r="F253" s="8"/>
      <c r="G253" s="7" t="s">
        <v>349</v>
      </c>
      <c r="H253" s="9">
        <v>35.212229999999998</v>
      </c>
      <c r="I253" s="9">
        <v>11.132792999999999</v>
      </c>
      <c r="J253" s="7" t="s">
        <v>84</v>
      </c>
      <c r="K253" s="7" t="s">
        <v>37</v>
      </c>
      <c r="L253" s="7"/>
      <c r="M253" s="10">
        <v>1.08</v>
      </c>
      <c r="N253" s="7" t="s">
        <v>44</v>
      </c>
      <c r="O253" s="7"/>
      <c r="P253" s="8" t="s">
        <v>39</v>
      </c>
      <c r="Q253">
        <v>7.68</v>
      </c>
      <c r="R253">
        <v>19.7</v>
      </c>
      <c r="S253" t="s">
        <v>53</v>
      </c>
      <c r="T253">
        <v>18</v>
      </c>
      <c r="U253">
        <f t="shared" si="15"/>
        <v>138.24</v>
      </c>
      <c r="V253">
        <v>1.1499999999999999</v>
      </c>
      <c r="W253">
        <v>160</v>
      </c>
      <c r="X253">
        <v>0.35</v>
      </c>
      <c r="Y253">
        <f t="shared" si="16"/>
        <v>56</v>
      </c>
      <c r="Z253">
        <f t="shared" si="17"/>
        <v>158.976</v>
      </c>
      <c r="AA253">
        <f t="shared" si="18"/>
        <v>102.976</v>
      </c>
      <c r="AB253">
        <f t="shared" si="19"/>
        <v>111.21408000000001</v>
      </c>
    </row>
    <row r="254" spans="1:28" ht="25.5" x14ac:dyDescent="0.25">
      <c r="A254" s="7">
        <v>253</v>
      </c>
      <c r="B254" s="7" t="s">
        <v>15</v>
      </c>
      <c r="C254" s="7" t="s">
        <v>85</v>
      </c>
      <c r="D254" s="7" t="s">
        <v>350</v>
      </c>
      <c r="E254" s="7"/>
      <c r="F254" s="8"/>
      <c r="G254" s="7" t="s">
        <v>350</v>
      </c>
      <c r="H254" s="9">
        <v>36.843893000000001</v>
      </c>
      <c r="I254" s="9">
        <v>9.8461320000000008</v>
      </c>
      <c r="J254" s="7" t="s">
        <v>87</v>
      </c>
      <c r="K254" s="7" t="s">
        <v>37</v>
      </c>
      <c r="L254" s="7"/>
      <c r="M254" s="10">
        <v>9.67</v>
      </c>
      <c r="N254" s="7" t="s">
        <v>48</v>
      </c>
      <c r="O254" s="7"/>
      <c r="P254" s="8" t="s">
        <v>39</v>
      </c>
      <c r="Q254">
        <v>7.24</v>
      </c>
      <c r="R254">
        <v>16.5</v>
      </c>
      <c r="S254" t="s">
        <v>53</v>
      </c>
      <c r="T254">
        <v>16</v>
      </c>
      <c r="U254">
        <f t="shared" si="15"/>
        <v>115.84</v>
      </c>
      <c r="V254">
        <v>1.03</v>
      </c>
      <c r="W254">
        <v>0</v>
      </c>
      <c r="X254">
        <v>0</v>
      </c>
      <c r="Y254">
        <f t="shared" si="16"/>
        <v>0</v>
      </c>
      <c r="Z254">
        <f t="shared" si="17"/>
        <v>119.3152</v>
      </c>
      <c r="AA254">
        <f t="shared" si="18"/>
        <v>119.3152</v>
      </c>
      <c r="AB254">
        <f t="shared" si="19"/>
        <v>1153.7779840000001</v>
      </c>
    </row>
    <row r="255" spans="1:28" ht="25.5" x14ac:dyDescent="0.25">
      <c r="A255" s="7">
        <v>254</v>
      </c>
      <c r="B255" s="7" t="s">
        <v>15</v>
      </c>
      <c r="C255" s="7" t="s">
        <v>88</v>
      </c>
      <c r="D255" s="7" t="s">
        <v>351</v>
      </c>
      <c r="E255" s="7"/>
      <c r="F255" s="8"/>
      <c r="G255" s="7" t="s">
        <v>351</v>
      </c>
      <c r="H255" s="9">
        <v>33.798197999999999</v>
      </c>
      <c r="I255" s="9">
        <v>10.989565000000001</v>
      </c>
      <c r="J255" s="7" t="s">
        <v>90</v>
      </c>
      <c r="K255" s="7" t="s">
        <v>37</v>
      </c>
      <c r="L255" s="7"/>
      <c r="M255" s="10">
        <v>19.21</v>
      </c>
      <c r="N255" s="7" t="s">
        <v>52</v>
      </c>
      <c r="O255" s="7"/>
      <c r="P255" s="8" t="s">
        <v>39</v>
      </c>
      <c r="Q255">
        <v>2.21</v>
      </c>
      <c r="R255">
        <v>29.4</v>
      </c>
      <c r="S255" t="s">
        <v>58</v>
      </c>
      <c r="T255">
        <v>12</v>
      </c>
      <c r="U255">
        <f t="shared" si="15"/>
        <v>26.52</v>
      </c>
      <c r="V255">
        <v>0.99</v>
      </c>
      <c r="W255">
        <v>160</v>
      </c>
      <c r="X255">
        <v>0.35</v>
      </c>
      <c r="Y255">
        <f t="shared" si="16"/>
        <v>56</v>
      </c>
      <c r="Z255">
        <f t="shared" si="17"/>
        <v>26.254799999999999</v>
      </c>
      <c r="AA255">
        <f t="shared" si="18"/>
        <v>0</v>
      </c>
      <c r="AB255">
        <f t="shared" si="19"/>
        <v>0</v>
      </c>
    </row>
    <row r="256" spans="1:28" ht="25.5" x14ac:dyDescent="0.25">
      <c r="A256" s="7">
        <v>255</v>
      </c>
      <c r="B256" s="7" t="s">
        <v>15</v>
      </c>
      <c r="C256" s="7" t="s">
        <v>92</v>
      </c>
      <c r="D256" s="7" t="s">
        <v>352</v>
      </c>
      <c r="E256" s="7"/>
      <c r="F256" s="8"/>
      <c r="G256" s="7" t="s">
        <v>352</v>
      </c>
      <c r="H256" s="9">
        <v>35.601973000000001</v>
      </c>
      <c r="I256" s="9">
        <v>10.762650000000001</v>
      </c>
      <c r="J256" s="7" t="s">
        <v>94</v>
      </c>
      <c r="K256" s="7" t="s">
        <v>37</v>
      </c>
      <c r="L256" s="7"/>
      <c r="M256" s="10">
        <v>3.01</v>
      </c>
      <c r="N256" s="7" t="s">
        <v>57</v>
      </c>
      <c r="O256" s="7"/>
      <c r="P256" s="8" t="s">
        <v>39</v>
      </c>
      <c r="Q256">
        <v>5.3</v>
      </c>
      <c r="R256">
        <v>30.6</v>
      </c>
      <c r="S256" t="s">
        <v>58</v>
      </c>
      <c r="T256">
        <v>8</v>
      </c>
      <c r="U256">
        <f t="shared" si="15"/>
        <v>42.4</v>
      </c>
      <c r="V256">
        <v>1.08</v>
      </c>
      <c r="W256">
        <v>80</v>
      </c>
      <c r="X256">
        <v>0.35</v>
      </c>
      <c r="Y256">
        <f t="shared" si="16"/>
        <v>28</v>
      </c>
      <c r="Z256">
        <f t="shared" si="17"/>
        <v>45.792000000000002</v>
      </c>
      <c r="AA256">
        <f t="shared" si="18"/>
        <v>17.792000000000002</v>
      </c>
      <c r="AB256">
        <f t="shared" si="19"/>
        <v>53.553919999999998</v>
      </c>
    </row>
    <row r="257" spans="1:28" ht="25.5" x14ac:dyDescent="0.25">
      <c r="A257" s="7">
        <v>256</v>
      </c>
      <c r="B257" s="7" t="s">
        <v>15</v>
      </c>
      <c r="C257" s="7" t="s">
        <v>95</v>
      </c>
      <c r="D257" s="7" t="s">
        <v>353</v>
      </c>
      <c r="E257" s="7"/>
      <c r="F257" s="8"/>
      <c r="G257" s="7" t="s">
        <v>353</v>
      </c>
      <c r="H257" s="9">
        <v>36.590966999999999</v>
      </c>
      <c r="I257" s="9">
        <v>10.847079000000001</v>
      </c>
      <c r="J257" s="7" t="s">
        <v>97</v>
      </c>
      <c r="K257" s="7" t="s">
        <v>37</v>
      </c>
      <c r="L257" s="7"/>
      <c r="M257" s="10">
        <v>18.88</v>
      </c>
      <c r="N257" s="7" t="s">
        <v>62</v>
      </c>
      <c r="O257" s="7"/>
      <c r="P257" s="8" t="s">
        <v>39</v>
      </c>
      <c r="Q257">
        <v>6.86</v>
      </c>
      <c r="R257">
        <v>24.5</v>
      </c>
      <c r="S257" t="s">
        <v>53</v>
      </c>
      <c r="T257">
        <v>7</v>
      </c>
      <c r="U257">
        <f t="shared" si="15"/>
        <v>48.02</v>
      </c>
      <c r="V257">
        <v>1.26</v>
      </c>
      <c r="W257">
        <v>0</v>
      </c>
      <c r="X257">
        <v>0</v>
      </c>
      <c r="Y257">
        <f t="shared" si="16"/>
        <v>0</v>
      </c>
      <c r="Z257">
        <f t="shared" si="17"/>
        <v>60.505200000000002</v>
      </c>
      <c r="AA257">
        <f t="shared" si="18"/>
        <v>60.505200000000002</v>
      </c>
      <c r="AB257">
        <f t="shared" si="19"/>
        <v>1142.338176</v>
      </c>
    </row>
    <row r="258" spans="1:28" ht="25.5" x14ac:dyDescent="0.25">
      <c r="A258" s="7">
        <v>257</v>
      </c>
      <c r="B258" s="7" t="s">
        <v>15</v>
      </c>
      <c r="C258" s="7" t="s">
        <v>98</v>
      </c>
      <c r="D258" s="7" t="s">
        <v>354</v>
      </c>
      <c r="E258" s="7"/>
      <c r="F258" s="8"/>
      <c r="G258" s="7" t="s">
        <v>354</v>
      </c>
      <c r="H258" s="9">
        <v>34.753177000000001</v>
      </c>
      <c r="I258" s="9">
        <v>10.505388999999999</v>
      </c>
      <c r="J258" s="7" t="s">
        <v>100</v>
      </c>
      <c r="K258" s="7" t="s">
        <v>37</v>
      </c>
      <c r="L258" s="7"/>
      <c r="M258" s="10">
        <v>19.87</v>
      </c>
      <c r="N258" s="7" t="s">
        <v>66</v>
      </c>
      <c r="O258" s="7"/>
      <c r="P258" s="8" t="s">
        <v>39</v>
      </c>
      <c r="Q258">
        <v>2.16</v>
      </c>
      <c r="R258">
        <v>39.5</v>
      </c>
      <c r="S258" t="s">
        <v>40</v>
      </c>
      <c r="T258">
        <v>10</v>
      </c>
      <c r="U258">
        <f t="shared" ref="U258:U321" si="20">Q258*T258</f>
        <v>21.6</v>
      </c>
      <c r="V258">
        <v>0.48</v>
      </c>
      <c r="W258">
        <v>160</v>
      </c>
      <c r="X258">
        <v>0.35</v>
      </c>
      <c r="Y258">
        <f t="shared" ref="Y258:Y321" si="21">W258*X258</f>
        <v>56</v>
      </c>
      <c r="Z258">
        <f t="shared" ref="Z258:Z321" si="22">U258*V258</f>
        <v>10.368</v>
      </c>
      <c r="AA258">
        <f t="shared" ref="AA258:AA321" si="23">MAX(0,Z258-Y258)</f>
        <v>0</v>
      </c>
      <c r="AB258">
        <f t="shared" si="19"/>
        <v>0</v>
      </c>
    </row>
    <row r="259" spans="1:28" ht="25.5" x14ac:dyDescent="0.25">
      <c r="A259" s="7">
        <v>258</v>
      </c>
      <c r="B259" s="7" t="s">
        <v>15</v>
      </c>
      <c r="C259" s="7" t="s">
        <v>101</v>
      </c>
      <c r="D259" s="7" t="s">
        <v>355</v>
      </c>
      <c r="E259" s="7"/>
      <c r="F259" s="8"/>
      <c r="G259" s="7" t="s">
        <v>355</v>
      </c>
      <c r="H259" s="9">
        <v>34.901322</v>
      </c>
      <c r="I259" s="9">
        <v>9.7799490000000002</v>
      </c>
      <c r="J259" s="7" t="s">
        <v>103</v>
      </c>
      <c r="K259" s="7" t="s">
        <v>37</v>
      </c>
      <c r="L259" s="7"/>
      <c r="M259" s="10">
        <v>16.48</v>
      </c>
      <c r="N259" s="7" t="s">
        <v>70</v>
      </c>
      <c r="O259" s="7"/>
      <c r="P259" s="8" t="s">
        <v>39</v>
      </c>
      <c r="Q259">
        <v>6.1</v>
      </c>
      <c r="R259">
        <v>25.7</v>
      </c>
      <c r="S259" t="s">
        <v>58</v>
      </c>
      <c r="T259">
        <v>9</v>
      </c>
      <c r="U259">
        <f t="shared" si="20"/>
        <v>54.9</v>
      </c>
      <c r="V259">
        <v>0.81</v>
      </c>
      <c r="W259">
        <v>0</v>
      </c>
      <c r="X259">
        <v>0</v>
      </c>
      <c r="Y259">
        <f t="shared" si="21"/>
        <v>0</v>
      </c>
      <c r="Z259">
        <f t="shared" si="22"/>
        <v>44.469000000000001</v>
      </c>
      <c r="AA259">
        <f t="shared" si="23"/>
        <v>44.469000000000001</v>
      </c>
      <c r="AB259">
        <f t="shared" ref="AB259:AB322" si="24">AA259*M259</f>
        <v>732.84912000000008</v>
      </c>
    </row>
    <row r="260" spans="1:28" ht="25.5" x14ac:dyDescent="0.25">
      <c r="A260" s="7">
        <v>259</v>
      </c>
      <c r="B260" s="7" t="s">
        <v>15</v>
      </c>
      <c r="C260" s="7" t="s">
        <v>104</v>
      </c>
      <c r="D260" s="7" t="s">
        <v>356</v>
      </c>
      <c r="E260" s="7"/>
      <c r="F260" s="8"/>
      <c r="G260" s="7" t="s">
        <v>356</v>
      </c>
      <c r="H260" s="9">
        <v>35.827477000000002</v>
      </c>
      <c r="I260" s="9">
        <v>9.2142750000000007</v>
      </c>
      <c r="J260" s="7" t="s">
        <v>106</v>
      </c>
      <c r="K260" s="7" t="s">
        <v>37</v>
      </c>
      <c r="L260" s="7"/>
      <c r="M260" s="10">
        <v>1.18</v>
      </c>
      <c r="N260" s="7" t="s">
        <v>74</v>
      </c>
      <c r="O260" s="7"/>
      <c r="P260" s="8" t="s">
        <v>39</v>
      </c>
      <c r="Q260">
        <v>6.04</v>
      </c>
      <c r="R260">
        <v>23.3</v>
      </c>
      <c r="S260" t="s">
        <v>53</v>
      </c>
      <c r="T260">
        <v>10</v>
      </c>
      <c r="U260">
        <f t="shared" si="20"/>
        <v>60.4</v>
      </c>
      <c r="V260">
        <v>1.03</v>
      </c>
      <c r="W260">
        <v>0</v>
      </c>
      <c r="X260">
        <v>0</v>
      </c>
      <c r="Y260">
        <f t="shared" si="21"/>
        <v>0</v>
      </c>
      <c r="Z260">
        <f t="shared" si="22"/>
        <v>62.212000000000003</v>
      </c>
      <c r="AA260">
        <f t="shared" si="23"/>
        <v>62.212000000000003</v>
      </c>
      <c r="AB260">
        <f t="shared" si="24"/>
        <v>73.410160000000005</v>
      </c>
    </row>
    <row r="261" spans="1:28" ht="25.5" x14ac:dyDescent="0.25">
      <c r="A261" s="7">
        <v>260</v>
      </c>
      <c r="B261" s="7" t="s">
        <v>15</v>
      </c>
      <c r="C261" s="7" t="s">
        <v>107</v>
      </c>
      <c r="D261" s="7" t="s">
        <v>357</v>
      </c>
      <c r="E261" s="7"/>
      <c r="F261" s="8"/>
      <c r="G261" s="7" t="s">
        <v>357</v>
      </c>
      <c r="H261" s="9">
        <v>36.145063999999998</v>
      </c>
      <c r="I261" s="9">
        <v>10.384328</v>
      </c>
      <c r="J261" s="7" t="s">
        <v>109</v>
      </c>
      <c r="K261" s="7" t="s">
        <v>37</v>
      </c>
      <c r="L261" s="7"/>
      <c r="M261" s="10">
        <v>8.36</v>
      </c>
      <c r="N261" s="7" t="s">
        <v>78</v>
      </c>
      <c r="O261" s="7"/>
      <c r="P261" s="8" t="s">
        <v>39</v>
      </c>
      <c r="Q261">
        <v>6.25</v>
      </c>
      <c r="R261">
        <v>38</v>
      </c>
      <c r="S261" t="s">
        <v>40</v>
      </c>
      <c r="T261">
        <v>14</v>
      </c>
      <c r="U261">
        <f t="shared" si="20"/>
        <v>87.5</v>
      </c>
      <c r="V261">
        <v>0.6</v>
      </c>
      <c r="W261">
        <v>0</v>
      </c>
      <c r="X261">
        <v>0</v>
      </c>
      <c r="Y261">
        <f t="shared" si="21"/>
        <v>0</v>
      </c>
      <c r="Z261">
        <f t="shared" si="22"/>
        <v>52.5</v>
      </c>
      <c r="AA261">
        <f t="shared" si="23"/>
        <v>52.5</v>
      </c>
      <c r="AB261">
        <f t="shared" si="24"/>
        <v>438.9</v>
      </c>
    </row>
    <row r="262" spans="1:28" ht="25.5" x14ac:dyDescent="0.25">
      <c r="A262" s="7">
        <v>261</v>
      </c>
      <c r="B262" s="7" t="s">
        <v>15</v>
      </c>
      <c r="C262" s="7" t="s">
        <v>110</v>
      </c>
      <c r="D262" s="7" t="s">
        <v>358</v>
      </c>
      <c r="E262" s="7"/>
      <c r="F262" s="8"/>
      <c r="G262" s="7" t="s">
        <v>358</v>
      </c>
      <c r="H262" s="9">
        <v>33.169967</v>
      </c>
      <c r="I262" s="9">
        <v>10.209614999999999</v>
      </c>
      <c r="J262" s="7" t="s">
        <v>112</v>
      </c>
      <c r="K262" s="7" t="s">
        <v>37</v>
      </c>
      <c r="L262" s="7"/>
      <c r="M262" s="10">
        <v>3.32</v>
      </c>
      <c r="N262" s="7" t="s">
        <v>38</v>
      </c>
      <c r="O262" s="7"/>
      <c r="P262" s="8" t="s">
        <v>39</v>
      </c>
      <c r="Q262">
        <v>5.51</v>
      </c>
      <c r="R262">
        <v>20</v>
      </c>
      <c r="S262" t="s">
        <v>53</v>
      </c>
      <c r="T262">
        <v>18</v>
      </c>
      <c r="U262">
        <f t="shared" si="20"/>
        <v>99.179999999999993</v>
      </c>
      <c r="V262">
        <v>1.1499999999999999</v>
      </c>
      <c r="W262">
        <v>160</v>
      </c>
      <c r="X262">
        <v>0.35</v>
      </c>
      <c r="Y262">
        <f t="shared" si="21"/>
        <v>56</v>
      </c>
      <c r="Z262">
        <f t="shared" si="22"/>
        <v>114.05699999999999</v>
      </c>
      <c r="AA262">
        <f t="shared" si="23"/>
        <v>58.056999999999988</v>
      </c>
      <c r="AB262">
        <f t="shared" si="24"/>
        <v>192.74923999999996</v>
      </c>
    </row>
    <row r="263" spans="1:28" ht="25.5" x14ac:dyDescent="0.25">
      <c r="A263" s="7">
        <v>262</v>
      </c>
      <c r="B263" s="7" t="s">
        <v>15</v>
      </c>
      <c r="C263" s="7" t="s">
        <v>113</v>
      </c>
      <c r="D263" s="7" t="s">
        <v>359</v>
      </c>
      <c r="E263" s="7"/>
      <c r="F263" s="8"/>
      <c r="G263" s="7" t="s">
        <v>359</v>
      </c>
      <c r="H263" s="9">
        <v>33.852564999999998</v>
      </c>
      <c r="I263" s="9">
        <v>7.8913159999999998</v>
      </c>
      <c r="J263" s="7" t="s">
        <v>115</v>
      </c>
      <c r="K263" s="7" t="s">
        <v>37</v>
      </c>
      <c r="L263" s="7"/>
      <c r="M263" s="10">
        <v>17.57</v>
      </c>
      <c r="N263" s="7" t="s">
        <v>44</v>
      </c>
      <c r="O263" s="7"/>
      <c r="P263" s="8" t="s">
        <v>39</v>
      </c>
      <c r="Q263">
        <v>3.83</v>
      </c>
      <c r="R263">
        <v>23.7</v>
      </c>
      <c r="S263" t="s">
        <v>53</v>
      </c>
      <c r="T263">
        <v>18</v>
      </c>
      <c r="U263">
        <f t="shared" si="20"/>
        <v>68.94</v>
      </c>
      <c r="V263">
        <v>1.1499999999999999</v>
      </c>
      <c r="W263">
        <v>80</v>
      </c>
      <c r="X263">
        <v>0.35</v>
      </c>
      <c r="Y263">
        <f t="shared" si="21"/>
        <v>28</v>
      </c>
      <c r="Z263">
        <f t="shared" si="22"/>
        <v>79.280999999999992</v>
      </c>
      <c r="AA263">
        <f t="shared" si="23"/>
        <v>51.280999999999992</v>
      </c>
      <c r="AB263">
        <f t="shared" si="24"/>
        <v>901.00716999999986</v>
      </c>
    </row>
    <row r="264" spans="1:28" ht="25.5" x14ac:dyDescent="0.25">
      <c r="A264" s="7">
        <v>263</v>
      </c>
      <c r="B264" s="7" t="s">
        <v>15</v>
      </c>
      <c r="C264" s="7" t="s">
        <v>116</v>
      </c>
      <c r="D264" s="7" t="s">
        <v>360</v>
      </c>
      <c r="E264" s="7"/>
      <c r="F264" s="8"/>
      <c r="G264" s="7" t="s">
        <v>360</v>
      </c>
      <c r="H264" s="9">
        <v>36.859524999999998</v>
      </c>
      <c r="I264" s="9">
        <v>10.307090000000001</v>
      </c>
      <c r="J264" s="7" t="s">
        <v>118</v>
      </c>
      <c r="K264" s="7" t="s">
        <v>37</v>
      </c>
      <c r="L264" s="7"/>
      <c r="M264" s="10">
        <v>20.96</v>
      </c>
      <c r="N264" s="7" t="s">
        <v>48</v>
      </c>
      <c r="O264" s="7"/>
      <c r="P264" s="8" t="s">
        <v>39</v>
      </c>
      <c r="Q264">
        <v>2.71</v>
      </c>
      <c r="R264">
        <v>30.7</v>
      </c>
      <c r="S264" t="s">
        <v>58</v>
      </c>
      <c r="T264">
        <v>16</v>
      </c>
      <c r="U264">
        <f t="shared" si="20"/>
        <v>43.36</v>
      </c>
      <c r="V264">
        <v>0.81</v>
      </c>
      <c r="W264">
        <v>0</v>
      </c>
      <c r="X264">
        <v>0</v>
      </c>
      <c r="Y264">
        <f t="shared" si="21"/>
        <v>0</v>
      </c>
      <c r="Z264">
        <f t="shared" si="22"/>
        <v>35.121600000000001</v>
      </c>
      <c r="AA264">
        <f t="shared" si="23"/>
        <v>35.121600000000001</v>
      </c>
      <c r="AB264">
        <f t="shared" si="24"/>
        <v>736.1487360000001</v>
      </c>
    </row>
    <row r="265" spans="1:28" ht="25.5" x14ac:dyDescent="0.25">
      <c r="A265" s="7">
        <v>264</v>
      </c>
      <c r="B265" s="7" t="s">
        <v>15</v>
      </c>
      <c r="C265" s="7" t="s">
        <v>119</v>
      </c>
      <c r="D265" s="7" t="s">
        <v>361</v>
      </c>
      <c r="E265" s="7"/>
      <c r="F265" s="8"/>
      <c r="G265" s="7" t="s">
        <v>361</v>
      </c>
      <c r="H265" s="9">
        <v>36.380684000000002</v>
      </c>
      <c r="I265" s="9">
        <v>9.6066509999999994</v>
      </c>
      <c r="J265" s="7" t="s">
        <v>121</v>
      </c>
      <c r="K265" s="7" t="s">
        <v>37</v>
      </c>
      <c r="L265" s="7"/>
      <c r="M265" s="10">
        <v>5.32</v>
      </c>
      <c r="N265" s="7" t="s">
        <v>52</v>
      </c>
      <c r="O265" s="7"/>
      <c r="P265" s="8" t="s">
        <v>39</v>
      </c>
      <c r="Q265">
        <v>1.82</v>
      </c>
      <c r="R265">
        <v>42.8</v>
      </c>
      <c r="S265" t="s">
        <v>40</v>
      </c>
      <c r="T265">
        <v>12</v>
      </c>
      <c r="U265">
        <f t="shared" si="20"/>
        <v>21.84</v>
      </c>
      <c r="V265">
        <v>0.66</v>
      </c>
      <c r="W265">
        <v>0</v>
      </c>
      <c r="X265">
        <v>0</v>
      </c>
      <c r="Y265">
        <f t="shared" si="21"/>
        <v>0</v>
      </c>
      <c r="Z265">
        <f t="shared" si="22"/>
        <v>14.414400000000001</v>
      </c>
      <c r="AA265">
        <f t="shared" si="23"/>
        <v>14.414400000000001</v>
      </c>
      <c r="AB265">
        <f t="shared" si="24"/>
        <v>76.684608000000011</v>
      </c>
    </row>
    <row r="266" spans="1:28" ht="25.5" x14ac:dyDescent="0.25">
      <c r="A266" s="7">
        <v>265</v>
      </c>
      <c r="B266" s="7" t="s">
        <v>15</v>
      </c>
      <c r="C266" s="7" t="s">
        <v>34</v>
      </c>
      <c r="D266" s="7" t="s">
        <v>362</v>
      </c>
      <c r="E266" s="7"/>
      <c r="F266" s="8"/>
      <c r="G266" s="7" t="s">
        <v>362</v>
      </c>
      <c r="H266" s="9">
        <v>36.872171000000002</v>
      </c>
      <c r="I266" s="9">
        <v>10.236583</v>
      </c>
      <c r="J266" s="7" t="s">
        <v>36</v>
      </c>
      <c r="K266" s="7" t="s">
        <v>37</v>
      </c>
      <c r="L266" s="7"/>
      <c r="M266" s="10">
        <v>24.34</v>
      </c>
      <c r="N266" s="7" t="s">
        <v>57</v>
      </c>
      <c r="O266" s="7"/>
      <c r="P266" s="8" t="s">
        <v>39</v>
      </c>
      <c r="Q266">
        <v>2.38</v>
      </c>
      <c r="R266">
        <v>20.6</v>
      </c>
      <c r="S266" t="s">
        <v>53</v>
      </c>
      <c r="T266">
        <v>8</v>
      </c>
      <c r="U266">
        <f t="shared" si="20"/>
        <v>19.04</v>
      </c>
      <c r="V266">
        <v>1.38</v>
      </c>
      <c r="W266">
        <v>80</v>
      </c>
      <c r="X266">
        <v>0.35</v>
      </c>
      <c r="Y266">
        <f t="shared" si="21"/>
        <v>28</v>
      </c>
      <c r="Z266">
        <f t="shared" si="22"/>
        <v>26.275199999999998</v>
      </c>
      <c r="AA266">
        <f t="shared" si="23"/>
        <v>0</v>
      </c>
      <c r="AB266">
        <f t="shared" si="24"/>
        <v>0</v>
      </c>
    </row>
    <row r="267" spans="1:28" ht="25.5" x14ac:dyDescent="0.25">
      <c r="A267" s="7">
        <v>266</v>
      </c>
      <c r="B267" s="7" t="s">
        <v>15</v>
      </c>
      <c r="C267" s="7" t="s">
        <v>41</v>
      </c>
      <c r="D267" s="7" t="s">
        <v>363</v>
      </c>
      <c r="E267" s="7"/>
      <c r="F267" s="8"/>
      <c r="G267" s="7" t="s">
        <v>363</v>
      </c>
      <c r="H267" s="9">
        <v>36.634298999999999</v>
      </c>
      <c r="I267" s="9">
        <v>9.5934419999999996</v>
      </c>
      <c r="J267" s="7" t="s">
        <v>43</v>
      </c>
      <c r="K267" s="7" t="s">
        <v>37</v>
      </c>
      <c r="L267" s="7"/>
      <c r="M267" s="10">
        <v>20.239999999999998</v>
      </c>
      <c r="N267" s="7" t="s">
        <v>62</v>
      </c>
      <c r="O267" s="7"/>
      <c r="P267" s="8" t="s">
        <v>39</v>
      </c>
      <c r="Q267">
        <v>2.2999999999999998</v>
      </c>
      <c r="R267">
        <v>17.899999999999999</v>
      </c>
      <c r="S267" t="s">
        <v>53</v>
      </c>
      <c r="T267">
        <v>7</v>
      </c>
      <c r="U267">
        <f t="shared" si="20"/>
        <v>16.099999999999998</v>
      </c>
      <c r="V267">
        <v>1.26</v>
      </c>
      <c r="W267">
        <v>80</v>
      </c>
      <c r="X267">
        <v>0.35</v>
      </c>
      <c r="Y267">
        <f t="shared" si="21"/>
        <v>28</v>
      </c>
      <c r="Z267">
        <f t="shared" si="22"/>
        <v>20.285999999999998</v>
      </c>
      <c r="AA267">
        <f t="shared" si="23"/>
        <v>0</v>
      </c>
      <c r="AB267">
        <f t="shared" si="24"/>
        <v>0</v>
      </c>
    </row>
    <row r="268" spans="1:28" ht="25.5" x14ac:dyDescent="0.25">
      <c r="A268" s="7">
        <v>267</v>
      </c>
      <c r="B268" s="7" t="s">
        <v>15</v>
      </c>
      <c r="C268" s="7" t="s">
        <v>45</v>
      </c>
      <c r="D268" s="7" t="s">
        <v>364</v>
      </c>
      <c r="E268" s="7"/>
      <c r="F268" s="8"/>
      <c r="G268" s="7" t="s">
        <v>364</v>
      </c>
      <c r="H268" s="9">
        <v>36.640389999999996</v>
      </c>
      <c r="I268" s="9">
        <v>10.320600000000001</v>
      </c>
      <c r="J268" s="7" t="s">
        <v>47</v>
      </c>
      <c r="K268" s="7" t="s">
        <v>37</v>
      </c>
      <c r="L268" s="7"/>
      <c r="M268" s="10">
        <v>13.97</v>
      </c>
      <c r="N268" s="7" t="s">
        <v>66</v>
      </c>
      <c r="O268" s="7"/>
      <c r="P268" s="8" t="s">
        <v>39</v>
      </c>
      <c r="Q268">
        <v>4.38</v>
      </c>
      <c r="R268">
        <v>10.5</v>
      </c>
      <c r="S268" t="s">
        <v>91</v>
      </c>
      <c r="T268">
        <v>10</v>
      </c>
      <c r="U268">
        <f t="shared" si="20"/>
        <v>43.8</v>
      </c>
      <c r="V268">
        <v>1.08</v>
      </c>
      <c r="W268">
        <v>80</v>
      </c>
      <c r="X268">
        <v>0.35</v>
      </c>
      <c r="Y268">
        <f t="shared" si="21"/>
        <v>28</v>
      </c>
      <c r="Z268">
        <f t="shared" si="22"/>
        <v>47.304000000000002</v>
      </c>
      <c r="AA268">
        <f t="shared" si="23"/>
        <v>19.304000000000002</v>
      </c>
      <c r="AB268">
        <f t="shared" si="24"/>
        <v>269.67688000000004</v>
      </c>
    </row>
    <row r="269" spans="1:28" ht="25.5" x14ac:dyDescent="0.25">
      <c r="A269" s="7">
        <v>268</v>
      </c>
      <c r="B269" s="7" t="s">
        <v>15</v>
      </c>
      <c r="C269" s="7" t="s">
        <v>49</v>
      </c>
      <c r="D269" s="7" t="s">
        <v>365</v>
      </c>
      <c r="E269" s="7"/>
      <c r="F269" s="8"/>
      <c r="G269" s="7" t="s">
        <v>365</v>
      </c>
      <c r="H269" s="9">
        <v>37.148685</v>
      </c>
      <c r="I269" s="9">
        <v>9.7818629999999995</v>
      </c>
      <c r="J269" s="7" t="s">
        <v>51</v>
      </c>
      <c r="K269" s="7" t="s">
        <v>37</v>
      </c>
      <c r="L269" s="7"/>
      <c r="M269" s="10">
        <v>16.16</v>
      </c>
      <c r="N269" s="7" t="s">
        <v>70</v>
      </c>
      <c r="O269" s="7"/>
      <c r="P269" s="8" t="s">
        <v>39</v>
      </c>
      <c r="Q269">
        <v>6.23</v>
      </c>
      <c r="R269">
        <v>44.7</v>
      </c>
      <c r="S269" t="s">
        <v>40</v>
      </c>
      <c r="T269">
        <v>9</v>
      </c>
      <c r="U269">
        <f t="shared" si="20"/>
        <v>56.070000000000007</v>
      </c>
      <c r="V269">
        <v>0.54</v>
      </c>
      <c r="W269">
        <v>120</v>
      </c>
      <c r="X269">
        <v>0.35</v>
      </c>
      <c r="Y269">
        <f t="shared" si="21"/>
        <v>42</v>
      </c>
      <c r="Z269">
        <f t="shared" si="22"/>
        <v>30.277800000000006</v>
      </c>
      <c r="AA269">
        <f t="shared" si="23"/>
        <v>0</v>
      </c>
      <c r="AB269">
        <f t="shared" si="24"/>
        <v>0</v>
      </c>
    </row>
    <row r="270" spans="1:28" ht="25.5" x14ac:dyDescent="0.25">
      <c r="A270" s="7">
        <v>269</v>
      </c>
      <c r="B270" s="7" t="s">
        <v>15</v>
      </c>
      <c r="C270" s="7" t="s">
        <v>54</v>
      </c>
      <c r="D270" s="7" t="s">
        <v>366</v>
      </c>
      <c r="E270" s="7"/>
      <c r="F270" s="8"/>
      <c r="G270" s="7" t="s">
        <v>366</v>
      </c>
      <c r="H270" s="9">
        <v>33.634377000000001</v>
      </c>
      <c r="I270" s="9">
        <v>10.281509</v>
      </c>
      <c r="J270" s="7" t="s">
        <v>56</v>
      </c>
      <c r="K270" s="7" t="s">
        <v>37</v>
      </c>
      <c r="L270" s="7"/>
      <c r="M270" s="10">
        <v>12.86</v>
      </c>
      <c r="N270" s="7" t="s">
        <v>74</v>
      </c>
      <c r="O270" s="7"/>
      <c r="P270" s="8" t="s">
        <v>39</v>
      </c>
      <c r="Q270">
        <v>4.6100000000000003</v>
      </c>
      <c r="R270">
        <v>34</v>
      </c>
      <c r="S270" t="s">
        <v>58</v>
      </c>
      <c r="T270">
        <v>10</v>
      </c>
      <c r="U270">
        <f t="shared" si="20"/>
        <v>46.1</v>
      </c>
      <c r="V270">
        <v>0.81</v>
      </c>
      <c r="W270">
        <v>120</v>
      </c>
      <c r="X270">
        <v>0.35</v>
      </c>
      <c r="Y270">
        <f t="shared" si="21"/>
        <v>42</v>
      </c>
      <c r="Z270">
        <f t="shared" si="22"/>
        <v>37.341000000000001</v>
      </c>
      <c r="AA270">
        <f t="shared" si="23"/>
        <v>0</v>
      </c>
      <c r="AB270">
        <f t="shared" si="24"/>
        <v>0</v>
      </c>
    </row>
    <row r="271" spans="1:28" ht="25.5" x14ac:dyDescent="0.25">
      <c r="A271" s="7">
        <v>270</v>
      </c>
      <c r="B271" s="7" t="s">
        <v>15</v>
      </c>
      <c r="C271" s="7" t="s">
        <v>59</v>
      </c>
      <c r="D271" s="7" t="s">
        <v>367</v>
      </c>
      <c r="E271" s="7"/>
      <c r="F271" s="8"/>
      <c r="G271" s="7" t="s">
        <v>367</v>
      </c>
      <c r="H271" s="9">
        <v>34.315708999999998</v>
      </c>
      <c r="I271" s="9">
        <v>8.4131689999999999</v>
      </c>
      <c r="J271" s="7" t="s">
        <v>61</v>
      </c>
      <c r="K271" s="7" t="s">
        <v>37</v>
      </c>
      <c r="L271" s="7"/>
      <c r="M271" s="10">
        <v>5.45</v>
      </c>
      <c r="N271" s="7" t="s">
        <v>78</v>
      </c>
      <c r="O271" s="7"/>
      <c r="P271" s="8" t="s">
        <v>39</v>
      </c>
      <c r="Q271">
        <v>4.38</v>
      </c>
      <c r="R271">
        <v>16.7</v>
      </c>
      <c r="S271" t="s">
        <v>53</v>
      </c>
      <c r="T271">
        <v>14</v>
      </c>
      <c r="U271">
        <f t="shared" si="20"/>
        <v>61.32</v>
      </c>
      <c r="V271">
        <v>1.1499999999999999</v>
      </c>
      <c r="W271">
        <v>80</v>
      </c>
      <c r="X271">
        <v>0.35</v>
      </c>
      <c r="Y271">
        <f t="shared" si="21"/>
        <v>28</v>
      </c>
      <c r="Z271">
        <f t="shared" si="22"/>
        <v>70.518000000000001</v>
      </c>
      <c r="AA271">
        <f t="shared" si="23"/>
        <v>42.518000000000001</v>
      </c>
      <c r="AB271">
        <f t="shared" si="24"/>
        <v>231.72310000000002</v>
      </c>
    </row>
    <row r="272" spans="1:28" ht="25.5" x14ac:dyDescent="0.25">
      <c r="A272" s="7">
        <v>271</v>
      </c>
      <c r="B272" s="7" t="s">
        <v>15</v>
      </c>
      <c r="C272" s="7" t="s">
        <v>63</v>
      </c>
      <c r="D272" s="7" t="s">
        <v>368</v>
      </c>
      <c r="E272" s="7"/>
      <c r="F272" s="8"/>
      <c r="G272" s="7" t="s">
        <v>368</v>
      </c>
      <c r="H272" s="9">
        <v>36.934249000000001</v>
      </c>
      <c r="I272" s="9">
        <v>8.7288999999999994</v>
      </c>
      <c r="J272" s="7" t="s">
        <v>65</v>
      </c>
      <c r="K272" s="7" t="s">
        <v>37</v>
      </c>
      <c r="L272" s="7"/>
      <c r="M272" s="10">
        <v>8.3800000000000008</v>
      </c>
      <c r="N272" s="7" t="s">
        <v>38</v>
      </c>
      <c r="O272" s="7"/>
      <c r="P272" s="8" t="s">
        <v>39</v>
      </c>
      <c r="Q272">
        <v>5.42</v>
      </c>
      <c r="R272">
        <v>21.5</v>
      </c>
      <c r="S272" t="s">
        <v>53</v>
      </c>
      <c r="T272">
        <v>18</v>
      </c>
      <c r="U272">
        <f t="shared" si="20"/>
        <v>97.56</v>
      </c>
      <c r="V272">
        <v>1.1499999999999999</v>
      </c>
      <c r="W272">
        <v>80</v>
      </c>
      <c r="X272">
        <v>0.35</v>
      </c>
      <c r="Y272">
        <f t="shared" si="21"/>
        <v>28</v>
      </c>
      <c r="Z272">
        <f t="shared" si="22"/>
        <v>112.19399999999999</v>
      </c>
      <c r="AA272">
        <f t="shared" si="23"/>
        <v>84.193999999999988</v>
      </c>
      <c r="AB272">
        <f t="shared" si="24"/>
        <v>705.54571999999996</v>
      </c>
    </row>
    <row r="273" spans="1:28" ht="25.5" x14ac:dyDescent="0.25">
      <c r="A273" s="7">
        <v>272</v>
      </c>
      <c r="B273" s="7" t="s">
        <v>15</v>
      </c>
      <c r="C273" s="7" t="s">
        <v>67</v>
      </c>
      <c r="D273" s="7" t="s">
        <v>369</v>
      </c>
      <c r="E273" s="7"/>
      <c r="F273" s="8"/>
      <c r="G273" s="7" t="s">
        <v>369</v>
      </c>
      <c r="H273" s="9">
        <v>35.616382999999999</v>
      </c>
      <c r="I273" s="9">
        <v>9.9013410000000004</v>
      </c>
      <c r="J273" s="7" t="s">
        <v>69</v>
      </c>
      <c r="K273" s="7" t="s">
        <v>37</v>
      </c>
      <c r="L273" s="7"/>
      <c r="M273" s="10">
        <v>7.12</v>
      </c>
      <c r="N273" s="7" t="s">
        <v>44</v>
      </c>
      <c r="O273" s="7"/>
      <c r="P273" s="8" t="s">
        <v>39</v>
      </c>
      <c r="Q273">
        <v>2.7</v>
      </c>
      <c r="R273">
        <v>14.5</v>
      </c>
      <c r="S273" t="s">
        <v>91</v>
      </c>
      <c r="T273">
        <v>18</v>
      </c>
      <c r="U273">
        <f t="shared" si="20"/>
        <v>48.6</v>
      </c>
      <c r="V273">
        <v>1.35</v>
      </c>
      <c r="W273">
        <v>80</v>
      </c>
      <c r="X273">
        <v>0.35</v>
      </c>
      <c r="Y273">
        <f t="shared" si="21"/>
        <v>28</v>
      </c>
      <c r="Z273">
        <f t="shared" si="22"/>
        <v>65.61</v>
      </c>
      <c r="AA273">
        <f t="shared" si="23"/>
        <v>37.61</v>
      </c>
      <c r="AB273">
        <f t="shared" si="24"/>
        <v>267.78320000000002</v>
      </c>
    </row>
    <row r="274" spans="1:28" ht="25.5" x14ac:dyDescent="0.25">
      <c r="A274" s="7">
        <v>273</v>
      </c>
      <c r="B274" s="7" t="s">
        <v>15</v>
      </c>
      <c r="C274" s="7" t="s">
        <v>71</v>
      </c>
      <c r="D274" s="7" t="s">
        <v>370</v>
      </c>
      <c r="E274" s="7"/>
      <c r="F274" s="8"/>
      <c r="G274" s="7" t="s">
        <v>370</v>
      </c>
      <c r="H274" s="9">
        <v>35.241205999999998</v>
      </c>
      <c r="I274" s="9">
        <v>9.1218979999999998</v>
      </c>
      <c r="J274" s="7" t="s">
        <v>73</v>
      </c>
      <c r="K274" s="7" t="s">
        <v>37</v>
      </c>
      <c r="L274" s="7"/>
      <c r="M274" s="10">
        <v>7.97</v>
      </c>
      <c r="N274" s="7" t="s">
        <v>48</v>
      </c>
      <c r="O274" s="7"/>
      <c r="P274" s="8" t="s">
        <v>39</v>
      </c>
      <c r="Q274">
        <v>2.46</v>
      </c>
      <c r="R274">
        <v>25</v>
      </c>
      <c r="S274" t="s">
        <v>58</v>
      </c>
      <c r="T274">
        <v>16</v>
      </c>
      <c r="U274">
        <f t="shared" si="20"/>
        <v>39.36</v>
      </c>
      <c r="V274">
        <v>0.81</v>
      </c>
      <c r="W274">
        <v>80</v>
      </c>
      <c r="X274">
        <v>0.35</v>
      </c>
      <c r="Y274">
        <f t="shared" si="21"/>
        <v>28</v>
      </c>
      <c r="Z274">
        <f t="shared" si="22"/>
        <v>31.881600000000002</v>
      </c>
      <c r="AA274">
        <f t="shared" si="23"/>
        <v>3.8816000000000024</v>
      </c>
      <c r="AB274">
        <f t="shared" si="24"/>
        <v>30.936352000000017</v>
      </c>
    </row>
    <row r="275" spans="1:28" ht="25.5" x14ac:dyDescent="0.25">
      <c r="A275" s="7">
        <v>274</v>
      </c>
      <c r="B275" s="7" t="s">
        <v>15</v>
      </c>
      <c r="C275" s="7" t="s">
        <v>75</v>
      </c>
      <c r="D275" s="7" t="s">
        <v>371</v>
      </c>
      <c r="E275" s="7"/>
      <c r="F275" s="8"/>
      <c r="G275" s="7" t="s">
        <v>371</v>
      </c>
      <c r="H275" s="9">
        <v>33.454070999999999</v>
      </c>
      <c r="I275" s="9">
        <v>9.0386170000000003</v>
      </c>
      <c r="J275" s="7" t="s">
        <v>77</v>
      </c>
      <c r="K275" s="7" t="s">
        <v>37</v>
      </c>
      <c r="L275" s="7"/>
      <c r="M275" s="10">
        <v>8.2200000000000006</v>
      </c>
      <c r="N275" s="7" t="s">
        <v>52</v>
      </c>
      <c r="O275" s="7"/>
      <c r="P275" s="8" t="s">
        <v>39</v>
      </c>
      <c r="Q275">
        <v>4.71</v>
      </c>
      <c r="R275">
        <v>19.600000000000001</v>
      </c>
      <c r="S275" t="s">
        <v>53</v>
      </c>
      <c r="T275">
        <v>12</v>
      </c>
      <c r="U275">
        <f t="shared" si="20"/>
        <v>56.519999999999996</v>
      </c>
      <c r="V275">
        <v>1.26</v>
      </c>
      <c r="W275">
        <v>50</v>
      </c>
      <c r="X275">
        <v>0.35</v>
      </c>
      <c r="Y275">
        <f t="shared" si="21"/>
        <v>17.5</v>
      </c>
      <c r="Z275">
        <f t="shared" si="22"/>
        <v>71.215199999999996</v>
      </c>
      <c r="AA275">
        <f t="shared" si="23"/>
        <v>53.715199999999996</v>
      </c>
      <c r="AB275">
        <f t="shared" si="24"/>
        <v>441.53894400000001</v>
      </c>
    </row>
    <row r="276" spans="1:28" ht="25.5" x14ac:dyDescent="0.25">
      <c r="A276" s="7">
        <v>275</v>
      </c>
      <c r="B276" s="7" t="s">
        <v>15</v>
      </c>
      <c r="C276" s="7" t="s">
        <v>79</v>
      </c>
      <c r="D276" s="7" t="s">
        <v>372</v>
      </c>
      <c r="E276" s="7"/>
      <c r="F276" s="8"/>
      <c r="G276" s="7" t="s">
        <v>372</v>
      </c>
      <c r="H276" s="9">
        <v>35.953524999999999</v>
      </c>
      <c r="I276" s="9">
        <v>8.8089089999999999</v>
      </c>
      <c r="J276" s="7" t="s">
        <v>81</v>
      </c>
      <c r="K276" s="7" t="s">
        <v>37</v>
      </c>
      <c r="L276" s="7"/>
      <c r="M276" s="10">
        <v>22.05</v>
      </c>
      <c r="N276" s="7" t="s">
        <v>57</v>
      </c>
      <c r="O276" s="7"/>
      <c r="P276" s="8" t="s">
        <v>39</v>
      </c>
      <c r="Q276">
        <v>3.74</v>
      </c>
      <c r="R276">
        <v>20.6</v>
      </c>
      <c r="S276" t="s">
        <v>53</v>
      </c>
      <c r="T276">
        <v>8</v>
      </c>
      <c r="U276">
        <f t="shared" si="20"/>
        <v>29.92</v>
      </c>
      <c r="V276">
        <v>1.38</v>
      </c>
      <c r="W276">
        <v>0</v>
      </c>
      <c r="X276">
        <v>0</v>
      </c>
      <c r="Y276">
        <f t="shared" si="21"/>
        <v>0</v>
      </c>
      <c r="Z276">
        <f t="shared" si="22"/>
        <v>41.2896</v>
      </c>
      <c r="AA276">
        <f t="shared" si="23"/>
        <v>41.2896</v>
      </c>
      <c r="AB276">
        <f t="shared" si="24"/>
        <v>910.43568000000005</v>
      </c>
    </row>
    <row r="277" spans="1:28" ht="25.5" x14ac:dyDescent="0.25">
      <c r="A277" s="7">
        <v>276</v>
      </c>
      <c r="B277" s="7" t="s">
        <v>15</v>
      </c>
      <c r="C277" s="7" t="s">
        <v>82</v>
      </c>
      <c r="D277" s="7" t="s">
        <v>373</v>
      </c>
      <c r="E277" s="7"/>
      <c r="F277" s="8"/>
      <c r="G277" s="7" t="s">
        <v>373</v>
      </c>
      <c r="H277" s="9">
        <v>35.250092000000002</v>
      </c>
      <c r="I277" s="9">
        <v>11.097047999999999</v>
      </c>
      <c r="J277" s="7" t="s">
        <v>84</v>
      </c>
      <c r="K277" s="7" t="s">
        <v>37</v>
      </c>
      <c r="L277" s="7"/>
      <c r="M277" s="10">
        <v>9.1999999999999993</v>
      </c>
      <c r="N277" s="7" t="s">
        <v>62</v>
      </c>
      <c r="O277" s="7"/>
      <c r="P277" s="8" t="s">
        <v>39</v>
      </c>
      <c r="Q277">
        <v>3.6</v>
      </c>
      <c r="R277">
        <v>37.1</v>
      </c>
      <c r="S277" t="s">
        <v>40</v>
      </c>
      <c r="T277">
        <v>7</v>
      </c>
      <c r="U277">
        <f t="shared" si="20"/>
        <v>25.2</v>
      </c>
      <c r="V277">
        <v>0.66</v>
      </c>
      <c r="W277">
        <v>80</v>
      </c>
      <c r="X277">
        <v>0.35</v>
      </c>
      <c r="Y277">
        <f t="shared" si="21"/>
        <v>28</v>
      </c>
      <c r="Z277">
        <f t="shared" si="22"/>
        <v>16.632000000000001</v>
      </c>
      <c r="AA277">
        <f t="shared" si="23"/>
        <v>0</v>
      </c>
      <c r="AB277">
        <f t="shared" si="24"/>
        <v>0</v>
      </c>
    </row>
    <row r="278" spans="1:28" ht="25.5" x14ac:dyDescent="0.25">
      <c r="A278" s="7">
        <v>277</v>
      </c>
      <c r="B278" s="7" t="s">
        <v>15</v>
      </c>
      <c r="C278" s="7" t="s">
        <v>85</v>
      </c>
      <c r="D278" s="7" t="s">
        <v>374</v>
      </c>
      <c r="E278" s="7"/>
      <c r="F278" s="8"/>
      <c r="G278" s="7" t="s">
        <v>374</v>
      </c>
      <c r="H278" s="9">
        <v>36.826166999999998</v>
      </c>
      <c r="I278" s="9">
        <v>9.8740380000000005</v>
      </c>
      <c r="J278" s="7" t="s">
        <v>87</v>
      </c>
      <c r="K278" s="7" t="s">
        <v>37</v>
      </c>
      <c r="L278" s="7"/>
      <c r="M278" s="10">
        <v>3.29</v>
      </c>
      <c r="N278" s="7" t="s">
        <v>66</v>
      </c>
      <c r="O278" s="7"/>
      <c r="P278" s="8" t="s">
        <v>39</v>
      </c>
      <c r="Q278">
        <v>5.29</v>
      </c>
      <c r="R278">
        <v>35.700000000000003</v>
      </c>
      <c r="S278" t="s">
        <v>40</v>
      </c>
      <c r="T278">
        <v>10</v>
      </c>
      <c r="U278">
        <f t="shared" si="20"/>
        <v>52.9</v>
      </c>
      <c r="V278">
        <v>0.48</v>
      </c>
      <c r="W278">
        <v>0</v>
      </c>
      <c r="X278">
        <v>0</v>
      </c>
      <c r="Y278">
        <f t="shared" si="21"/>
        <v>0</v>
      </c>
      <c r="Z278">
        <f t="shared" si="22"/>
        <v>25.391999999999999</v>
      </c>
      <c r="AA278">
        <f t="shared" si="23"/>
        <v>25.391999999999999</v>
      </c>
      <c r="AB278">
        <f t="shared" si="24"/>
        <v>83.539680000000004</v>
      </c>
    </row>
    <row r="279" spans="1:28" ht="25.5" x14ac:dyDescent="0.25">
      <c r="A279" s="7">
        <v>278</v>
      </c>
      <c r="B279" s="7" t="s">
        <v>15</v>
      </c>
      <c r="C279" s="7" t="s">
        <v>88</v>
      </c>
      <c r="D279" s="7" t="s">
        <v>375</v>
      </c>
      <c r="E279" s="7"/>
      <c r="F279" s="8"/>
      <c r="G279" s="7" t="s">
        <v>375</v>
      </c>
      <c r="H279" s="9">
        <v>33.792980999999997</v>
      </c>
      <c r="I279" s="9">
        <v>10.981617</v>
      </c>
      <c r="J279" s="7" t="s">
        <v>90</v>
      </c>
      <c r="K279" s="7" t="s">
        <v>37</v>
      </c>
      <c r="L279" s="7"/>
      <c r="M279" s="10">
        <v>17.829999999999998</v>
      </c>
      <c r="N279" s="7" t="s">
        <v>70</v>
      </c>
      <c r="O279" s="7"/>
      <c r="P279" s="8" t="s">
        <v>39</v>
      </c>
      <c r="Q279">
        <v>7.47</v>
      </c>
      <c r="R279">
        <v>39.6</v>
      </c>
      <c r="S279" t="s">
        <v>40</v>
      </c>
      <c r="T279">
        <v>9</v>
      </c>
      <c r="U279">
        <f t="shared" si="20"/>
        <v>67.23</v>
      </c>
      <c r="V279">
        <v>0.54</v>
      </c>
      <c r="W279">
        <v>0</v>
      </c>
      <c r="X279">
        <v>0</v>
      </c>
      <c r="Y279">
        <f t="shared" si="21"/>
        <v>0</v>
      </c>
      <c r="Z279">
        <f t="shared" si="22"/>
        <v>36.304200000000002</v>
      </c>
      <c r="AA279">
        <f t="shared" si="23"/>
        <v>36.304200000000002</v>
      </c>
      <c r="AB279">
        <f t="shared" si="24"/>
        <v>647.30388599999992</v>
      </c>
    </row>
    <row r="280" spans="1:28" ht="25.5" x14ac:dyDescent="0.25">
      <c r="A280" s="7">
        <v>279</v>
      </c>
      <c r="B280" s="7" t="s">
        <v>15</v>
      </c>
      <c r="C280" s="7" t="s">
        <v>92</v>
      </c>
      <c r="D280" s="7" t="s">
        <v>376</v>
      </c>
      <c r="E280" s="7"/>
      <c r="F280" s="8"/>
      <c r="G280" s="7" t="s">
        <v>376</v>
      </c>
      <c r="H280" s="9">
        <v>35.629784999999998</v>
      </c>
      <c r="I280" s="9">
        <v>10.751219000000001</v>
      </c>
      <c r="J280" s="7" t="s">
        <v>94</v>
      </c>
      <c r="K280" s="7" t="s">
        <v>37</v>
      </c>
      <c r="L280" s="7"/>
      <c r="M280" s="10">
        <v>9.42</v>
      </c>
      <c r="N280" s="7" t="s">
        <v>74</v>
      </c>
      <c r="O280" s="7"/>
      <c r="P280" s="8" t="s">
        <v>39</v>
      </c>
      <c r="Q280">
        <v>2.62</v>
      </c>
      <c r="R280">
        <v>26</v>
      </c>
      <c r="S280" t="s">
        <v>58</v>
      </c>
      <c r="T280">
        <v>10</v>
      </c>
      <c r="U280">
        <f t="shared" si="20"/>
        <v>26.200000000000003</v>
      </c>
      <c r="V280">
        <v>0.81</v>
      </c>
      <c r="W280">
        <v>160</v>
      </c>
      <c r="X280">
        <v>0.35</v>
      </c>
      <c r="Y280">
        <f t="shared" si="21"/>
        <v>56</v>
      </c>
      <c r="Z280">
        <f t="shared" si="22"/>
        <v>21.222000000000005</v>
      </c>
      <c r="AA280">
        <f t="shared" si="23"/>
        <v>0</v>
      </c>
      <c r="AB280">
        <f t="shared" si="24"/>
        <v>0</v>
      </c>
    </row>
    <row r="281" spans="1:28" ht="25.5" x14ac:dyDescent="0.25">
      <c r="A281" s="7">
        <v>280</v>
      </c>
      <c r="B281" s="7" t="s">
        <v>15</v>
      </c>
      <c r="C281" s="7" t="s">
        <v>95</v>
      </c>
      <c r="D281" s="7" t="s">
        <v>377</v>
      </c>
      <c r="E281" s="7"/>
      <c r="F281" s="8"/>
      <c r="G281" s="7" t="s">
        <v>377</v>
      </c>
      <c r="H281" s="9">
        <v>36.582019000000003</v>
      </c>
      <c r="I281" s="9">
        <v>10.887371</v>
      </c>
      <c r="J281" s="7" t="s">
        <v>97</v>
      </c>
      <c r="K281" s="7" t="s">
        <v>37</v>
      </c>
      <c r="L281" s="7"/>
      <c r="M281" s="10">
        <v>19.690000000000001</v>
      </c>
      <c r="N281" s="7" t="s">
        <v>78</v>
      </c>
      <c r="O281" s="7"/>
      <c r="P281" s="8" t="s">
        <v>39</v>
      </c>
      <c r="Q281">
        <v>3.05</v>
      </c>
      <c r="R281">
        <v>35.700000000000003</v>
      </c>
      <c r="S281" t="s">
        <v>40</v>
      </c>
      <c r="T281">
        <v>14</v>
      </c>
      <c r="U281">
        <f t="shared" si="20"/>
        <v>42.699999999999996</v>
      </c>
      <c r="V281">
        <v>0.6</v>
      </c>
      <c r="W281">
        <v>0</v>
      </c>
      <c r="X281">
        <v>0</v>
      </c>
      <c r="Y281">
        <f t="shared" si="21"/>
        <v>0</v>
      </c>
      <c r="Z281">
        <f t="shared" si="22"/>
        <v>25.619999999999997</v>
      </c>
      <c r="AA281">
        <f t="shared" si="23"/>
        <v>25.619999999999997</v>
      </c>
      <c r="AB281">
        <f t="shared" si="24"/>
        <v>504.45779999999996</v>
      </c>
    </row>
    <row r="282" spans="1:28" ht="25.5" x14ac:dyDescent="0.25">
      <c r="A282" s="7">
        <v>281</v>
      </c>
      <c r="B282" s="7" t="s">
        <v>15</v>
      </c>
      <c r="C282" s="7" t="s">
        <v>98</v>
      </c>
      <c r="D282" s="7" t="s">
        <v>378</v>
      </c>
      <c r="E282" s="7"/>
      <c r="F282" s="8"/>
      <c r="G282" s="7" t="s">
        <v>378</v>
      </c>
      <c r="H282" s="9">
        <v>34.727702999999998</v>
      </c>
      <c r="I282" s="9">
        <v>10.512657000000001</v>
      </c>
      <c r="J282" s="7" t="s">
        <v>100</v>
      </c>
      <c r="K282" s="7" t="s">
        <v>37</v>
      </c>
      <c r="L282" s="7"/>
      <c r="M282" s="10">
        <v>2.36</v>
      </c>
      <c r="N282" s="7" t="s">
        <v>38</v>
      </c>
      <c r="O282" s="7"/>
      <c r="P282" s="8" t="s">
        <v>39</v>
      </c>
      <c r="Q282">
        <v>5.32</v>
      </c>
      <c r="R282">
        <v>17.8</v>
      </c>
      <c r="S282" t="s">
        <v>53</v>
      </c>
      <c r="T282">
        <v>18</v>
      </c>
      <c r="U282">
        <f t="shared" si="20"/>
        <v>95.76</v>
      </c>
      <c r="V282">
        <v>1.1499999999999999</v>
      </c>
      <c r="W282">
        <v>0</v>
      </c>
      <c r="X282">
        <v>0</v>
      </c>
      <c r="Y282">
        <f t="shared" si="21"/>
        <v>0</v>
      </c>
      <c r="Z282">
        <f t="shared" si="22"/>
        <v>110.124</v>
      </c>
      <c r="AA282">
        <f t="shared" si="23"/>
        <v>110.124</v>
      </c>
      <c r="AB282">
        <f t="shared" si="24"/>
        <v>259.89263999999997</v>
      </c>
    </row>
    <row r="283" spans="1:28" ht="25.5" x14ac:dyDescent="0.25">
      <c r="A283" s="7">
        <v>282</v>
      </c>
      <c r="B283" s="7" t="s">
        <v>15</v>
      </c>
      <c r="C283" s="7" t="s">
        <v>101</v>
      </c>
      <c r="D283" s="7" t="s">
        <v>379</v>
      </c>
      <c r="E283" s="7"/>
      <c r="F283" s="8"/>
      <c r="G283" s="7" t="s">
        <v>379</v>
      </c>
      <c r="H283" s="9">
        <v>34.920383000000001</v>
      </c>
      <c r="I283" s="9">
        <v>9.7971819999999994</v>
      </c>
      <c r="J283" s="7" t="s">
        <v>103</v>
      </c>
      <c r="K283" s="7" t="s">
        <v>37</v>
      </c>
      <c r="L283" s="7"/>
      <c r="M283" s="10">
        <v>0.77</v>
      </c>
      <c r="N283" s="7" t="s">
        <v>44</v>
      </c>
      <c r="O283" s="7"/>
      <c r="P283" s="8" t="s">
        <v>39</v>
      </c>
      <c r="Q283">
        <v>2.6</v>
      </c>
      <c r="R283">
        <v>12.6</v>
      </c>
      <c r="S283" t="s">
        <v>91</v>
      </c>
      <c r="T283">
        <v>18</v>
      </c>
      <c r="U283">
        <f t="shared" si="20"/>
        <v>46.800000000000004</v>
      </c>
      <c r="V283">
        <v>1.35</v>
      </c>
      <c r="W283">
        <v>0</v>
      </c>
      <c r="X283">
        <v>0</v>
      </c>
      <c r="Y283">
        <f t="shared" si="21"/>
        <v>0</v>
      </c>
      <c r="Z283">
        <f t="shared" si="22"/>
        <v>63.180000000000007</v>
      </c>
      <c r="AA283">
        <f t="shared" si="23"/>
        <v>63.180000000000007</v>
      </c>
      <c r="AB283">
        <f t="shared" si="24"/>
        <v>48.648600000000009</v>
      </c>
    </row>
    <row r="284" spans="1:28" ht="25.5" x14ac:dyDescent="0.25">
      <c r="A284" s="7">
        <v>283</v>
      </c>
      <c r="B284" s="7" t="s">
        <v>15</v>
      </c>
      <c r="C284" s="7" t="s">
        <v>104</v>
      </c>
      <c r="D284" s="7" t="s">
        <v>380</v>
      </c>
      <c r="E284" s="7"/>
      <c r="F284" s="8"/>
      <c r="G284" s="7" t="s">
        <v>380</v>
      </c>
      <c r="H284" s="9">
        <v>35.874257</v>
      </c>
      <c r="I284" s="9">
        <v>9.1869899999999998</v>
      </c>
      <c r="J284" s="7" t="s">
        <v>106</v>
      </c>
      <c r="K284" s="7" t="s">
        <v>37</v>
      </c>
      <c r="L284" s="7"/>
      <c r="M284" s="10">
        <v>9.9</v>
      </c>
      <c r="N284" s="7" t="s">
        <v>48</v>
      </c>
      <c r="O284" s="7"/>
      <c r="P284" s="8" t="s">
        <v>39</v>
      </c>
      <c r="Q284">
        <v>7.09</v>
      </c>
      <c r="R284">
        <v>23.6</v>
      </c>
      <c r="S284" t="s">
        <v>53</v>
      </c>
      <c r="T284">
        <v>16</v>
      </c>
      <c r="U284">
        <f t="shared" si="20"/>
        <v>113.44</v>
      </c>
      <c r="V284">
        <v>1.03</v>
      </c>
      <c r="W284">
        <v>80</v>
      </c>
      <c r="X284">
        <v>0.35</v>
      </c>
      <c r="Y284">
        <f t="shared" si="21"/>
        <v>28</v>
      </c>
      <c r="Z284">
        <f t="shared" si="22"/>
        <v>116.8432</v>
      </c>
      <c r="AA284">
        <f t="shared" si="23"/>
        <v>88.843199999999996</v>
      </c>
      <c r="AB284">
        <f t="shared" si="24"/>
        <v>879.54768000000001</v>
      </c>
    </row>
    <row r="285" spans="1:28" ht="25.5" x14ac:dyDescent="0.25">
      <c r="A285" s="7">
        <v>284</v>
      </c>
      <c r="B285" s="7" t="s">
        <v>15</v>
      </c>
      <c r="C285" s="7" t="s">
        <v>107</v>
      </c>
      <c r="D285" s="7" t="s">
        <v>381</v>
      </c>
      <c r="E285" s="7"/>
      <c r="F285" s="8"/>
      <c r="G285" s="7" t="s">
        <v>381</v>
      </c>
      <c r="H285" s="9">
        <v>36.154912000000003</v>
      </c>
      <c r="I285" s="9">
        <v>10.358542</v>
      </c>
      <c r="J285" s="7" t="s">
        <v>109</v>
      </c>
      <c r="K285" s="7" t="s">
        <v>37</v>
      </c>
      <c r="L285" s="7"/>
      <c r="M285" s="10">
        <v>20.13</v>
      </c>
      <c r="N285" s="7" t="s">
        <v>52</v>
      </c>
      <c r="O285" s="7"/>
      <c r="P285" s="8" t="s">
        <v>39</v>
      </c>
      <c r="Q285">
        <v>3.62</v>
      </c>
      <c r="R285">
        <v>31.8</v>
      </c>
      <c r="S285" t="s">
        <v>58</v>
      </c>
      <c r="T285">
        <v>12</v>
      </c>
      <c r="U285">
        <f t="shared" si="20"/>
        <v>43.44</v>
      </c>
      <c r="V285">
        <v>0.99</v>
      </c>
      <c r="W285">
        <v>0</v>
      </c>
      <c r="X285">
        <v>0</v>
      </c>
      <c r="Y285">
        <f t="shared" si="21"/>
        <v>0</v>
      </c>
      <c r="Z285">
        <f t="shared" si="22"/>
        <v>43.005599999999994</v>
      </c>
      <c r="AA285">
        <f t="shared" si="23"/>
        <v>43.005599999999994</v>
      </c>
      <c r="AB285">
        <f t="shared" si="24"/>
        <v>865.70272799999987</v>
      </c>
    </row>
    <row r="286" spans="1:28" ht="25.5" x14ac:dyDescent="0.25">
      <c r="A286" s="7">
        <v>285</v>
      </c>
      <c r="B286" s="7" t="s">
        <v>15</v>
      </c>
      <c r="C286" s="7" t="s">
        <v>110</v>
      </c>
      <c r="D286" s="7" t="s">
        <v>382</v>
      </c>
      <c r="E286" s="7"/>
      <c r="F286" s="8"/>
      <c r="G286" s="7" t="s">
        <v>382</v>
      </c>
      <c r="H286" s="9">
        <v>33.164907999999997</v>
      </c>
      <c r="I286" s="9">
        <v>10.234486</v>
      </c>
      <c r="J286" s="7" t="s">
        <v>112</v>
      </c>
      <c r="K286" s="7" t="s">
        <v>37</v>
      </c>
      <c r="L286" s="7"/>
      <c r="M286" s="10">
        <v>10.34</v>
      </c>
      <c r="N286" s="7" t="s">
        <v>57</v>
      </c>
      <c r="O286" s="7"/>
      <c r="P286" s="8" t="s">
        <v>39</v>
      </c>
      <c r="Q286">
        <v>3.45</v>
      </c>
      <c r="R286">
        <v>18</v>
      </c>
      <c r="S286" t="s">
        <v>53</v>
      </c>
      <c r="T286">
        <v>8</v>
      </c>
      <c r="U286">
        <f t="shared" si="20"/>
        <v>27.6</v>
      </c>
      <c r="V286">
        <v>1.38</v>
      </c>
      <c r="W286">
        <v>80</v>
      </c>
      <c r="X286">
        <v>0.35</v>
      </c>
      <c r="Y286">
        <f t="shared" si="21"/>
        <v>28</v>
      </c>
      <c r="Z286">
        <f t="shared" si="22"/>
        <v>38.088000000000001</v>
      </c>
      <c r="AA286">
        <f t="shared" si="23"/>
        <v>10.088000000000001</v>
      </c>
      <c r="AB286">
        <f t="shared" si="24"/>
        <v>104.30992000000001</v>
      </c>
    </row>
    <row r="287" spans="1:28" ht="25.5" x14ac:dyDescent="0.25">
      <c r="A287" s="7">
        <v>286</v>
      </c>
      <c r="B287" s="7" t="s">
        <v>15</v>
      </c>
      <c r="C287" s="7" t="s">
        <v>113</v>
      </c>
      <c r="D287" s="7" t="s">
        <v>383</v>
      </c>
      <c r="E287" s="7"/>
      <c r="F287" s="8"/>
      <c r="G287" s="7" t="s">
        <v>383</v>
      </c>
      <c r="H287" s="9">
        <v>33.883527999999998</v>
      </c>
      <c r="I287" s="9">
        <v>7.8597900000000003</v>
      </c>
      <c r="J287" s="7" t="s">
        <v>115</v>
      </c>
      <c r="K287" s="7" t="s">
        <v>37</v>
      </c>
      <c r="L287" s="7"/>
      <c r="M287" s="10">
        <v>3.9</v>
      </c>
      <c r="N287" s="7" t="s">
        <v>62</v>
      </c>
      <c r="O287" s="7"/>
      <c r="P287" s="8" t="s">
        <v>39</v>
      </c>
      <c r="Q287">
        <v>5.73</v>
      </c>
      <c r="R287">
        <v>34.799999999999997</v>
      </c>
      <c r="S287" t="s">
        <v>58</v>
      </c>
      <c r="T287">
        <v>7</v>
      </c>
      <c r="U287">
        <f t="shared" si="20"/>
        <v>40.11</v>
      </c>
      <c r="V287">
        <v>0.99</v>
      </c>
      <c r="W287">
        <v>160</v>
      </c>
      <c r="X287">
        <v>0.35</v>
      </c>
      <c r="Y287">
        <f t="shared" si="21"/>
        <v>56</v>
      </c>
      <c r="Z287">
        <f t="shared" si="22"/>
        <v>39.7089</v>
      </c>
      <c r="AA287">
        <f t="shared" si="23"/>
        <v>0</v>
      </c>
      <c r="AB287">
        <f t="shared" si="24"/>
        <v>0</v>
      </c>
    </row>
    <row r="288" spans="1:28" ht="25.5" x14ac:dyDescent="0.25">
      <c r="A288" s="7">
        <v>287</v>
      </c>
      <c r="B288" s="7" t="s">
        <v>15</v>
      </c>
      <c r="C288" s="7" t="s">
        <v>116</v>
      </c>
      <c r="D288" s="7" t="s">
        <v>384</v>
      </c>
      <c r="E288" s="7"/>
      <c r="F288" s="8"/>
      <c r="G288" s="7" t="s">
        <v>384</v>
      </c>
      <c r="H288" s="9">
        <v>36.843249999999998</v>
      </c>
      <c r="I288" s="9">
        <v>10.328848000000001</v>
      </c>
      <c r="J288" s="7" t="s">
        <v>118</v>
      </c>
      <c r="K288" s="7" t="s">
        <v>37</v>
      </c>
      <c r="L288" s="7"/>
      <c r="M288" s="10">
        <v>18.690000000000001</v>
      </c>
      <c r="N288" s="7" t="s">
        <v>66</v>
      </c>
      <c r="O288" s="7"/>
      <c r="P288" s="8" t="s">
        <v>39</v>
      </c>
      <c r="Q288">
        <v>1.94</v>
      </c>
      <c r="R288">
        <v>44.3</v>
      </c>
      <c r="S288" t="s">
        <v>40</v>
      </c>
      <c r="T288">
        <v>10</v>
      </c>
      <c r="U288">
        <f t="shared" si="20"/>
        <v>19.399999999999999</v>
      </c>
      <c r="V288">
        <v>0.48</v>
      </c>
      <c r="W288">
        <v>80</v>
      </c>
      <c r="X288">
        <v>0.35</v>
      </c>
      <c r="Y288">
        <f t="shared" si="21"/>
        <v>28</v>
      </c>
      <c r="Z288">
        <f t="shared" si="22"/>
        <v>9.3119999999999994</v>
      </c>
      <c r="AA288">
        <f t="shared" si="23"/>
        <v>0</v>
      </c>
      <c r="AB288">
        <f t="shared" si="24"/>
        <v>0</v>
      </c>
    </row>
    <row r="289" spans="1:28" ht="25.5" x14ac:dyDescent="0.25">
      <c r="A289" s="7">
        <v>288</v>
      </c>
      <c r="B289" s="7" t="s">
        <v>15</v>
      </c>
      <c r="C289" s="7" t="s">
        <v>119</v>
      </c>
      <c r="D289" s="7" t="s">
        <v>385</v>
      </c>
      <c r="E289" s="7"/>
      <c r="F289" s="8"/>
      <c r="G289" s="7" t="s">
        <v>385</v>
      </c>
      <c r="H289" s="9">
        <v>36.393957</v>
      </c>
      <c r="I289" s="9">
        <v>9.6251949999999997</v>
      </c>
      <c r="J289" s="7" t="s">
        <v>121</v>
      </c>
      <c r="K289" s="7" t="s">
        <v>37</v>
      </c>
      <c r="L289" s="7"/>
      <c r="M289" s="10">
        <v>19.8</v>
      </c>
      <c r="N289" s="7" t="s">
        <v>70</v>
      </c>
      <c r="O289" s="7"/>
      <c r="P289" s="8" t="s">
        <v>39</v>
      </c>
      <c r="Q289">
        <v>5.05</v>
      </c>
      <c r="R289">
        <v>12.7</v>
      </c>
      <c r="S289" t="s">
        <v>91</v>
      </c>
      <c r="T289">
        <v>9</v>
      </c>
      <c r="U289">
        <f t="shared" si="20"/>
        <v>45.449999999999996</v>
      </c>
      <c r="V289">
        <v>1.22</v>
      </c>
      <c r="W289">
        <v>80</v>
      </c>
      <c r="X289">
        <v>0.35</v>
      </c>
      <c r="Y289">
        <f t="shared" si="21"/>
        <v>28</v>
      </c>
      <c r="Z289">
        <f t="shared" si="22"/>
        <v>55.448999999999991</v>
      </c>
      <c r="AA289">
        <f t="shared" si="23"/>
        <v>27.448999999999991</v>
      </c>
      <c r="AB289">
        <f t="shared" si="24"/>
        <v>543.49019999999985</v>
      </c>
    </row>
    <row r="290" spans="1:28" ht="25.5" x14ac:dyDescent="0.25">
      <c r="A290" s="7">
        <v>289</v>
      </c>
      <c r="B290" s="7" t="s">
        <v>15</v>
      </c>
      <c r="C290" s="7" t="s">
        <v>34</v>
      </c>
      <c r="D290" s="7" t="s">
        <v>386</v>
      </c>
      <c r="E290" s="7"/>
      <c r="F290" s="8"/>
      <c r="G290" s="7" t="s">
        <v>386</v>
      </c>
      <c r="H290" s="9">
        <v>36.887545000000003</v>
      </c>
      <c r="I290" s="9">
        <v>10.229324</v>
      </c>
      <c r="J290" s="7" t="s">
        <v>36</v>
      </c>
      <c r="K290" s="7" t="s">
        <v>37</v>
      </c>
      <c r="L290" s="7"/>
      <c r="M290" s="10">
        <v>24.35</v>
      </c>
      <c r="N290" s="7" t="s">
        <v>74</v>
      </c>
      <c r="O290" s="7"/>
      <c r="P290" s="8" t="s">
        <v>39</v>
      </c>
      <c r="Q290">
        <v>2.8</v>
      </c>
      <c r="R290">
        <v>30.4</v>
      </c>
      <c r="S290" t="s">
        <v>58</v>
      </c>
      <c r="T290">
        <v>10</v>
      </c>
      <c r="U290">
        <f t="shared" si="20"/>
        <v>28</v>
      </c>
      <c r="V290">
        <v>0.81</v>
      </c>
      <c r="W290">
        <v>0</v>
      </c>
      <c r="X290">
        <v>0</v>
      </c>
      <c r="Y290">
        <f t="shared" si="21"/>
        <v>0</v>
      </c>
      <c r="Z290">
        <f t="shared" si="22"/>
        <v>22.68</v>
      </c>
      <c r="AA290">
        <f t="shared" si="23"/>
        <v>22.68</v>
      </c>
      <c r="AB290">
        <f t="shared" si="24"/>
        <v>552.25800000000004</v>
      </c>
    </row>
    <row r="291" spans="1:28" ht="25.5" x14ac:dyDescent="0.25">
      <c r="A291" s="7">
        <v>290</v>
      </c>
      <c r="B291" s="7" t="s">
        <v>15</v>
      </c>
      <c r="C291" s="7" t="s">
        <v>41</v>
      </c>
      <c r="D291" s="7" t="s">
        <v>387</v>
      </c>
      <c r="E291" s="7"/>
      <c r="F291" s="8"/>
      <c r="G291" s="7" t="s">
        <v>387</v>
      </c>
      <c r="H291" s="9">
        <v>36.624848999999998</v>
      </c>
      <c r="I291" s="9">
        <v>9.5987410000000004</v>
      </c>
      <c r="J291" s="7" t="s">
        <v>43</v>
      </c>
      <c r="K291" s="7" t="s">
        <v>37</v>
      </c>
      <c r="L291" s="7"/>
      <c r="M291" s="10">
        <v>20.36</v>
      </c>
      <c r="N291" s="7" t="s">
        <v>78</v>
      </c>
      <c r="O291" s="7"/>
      <c r="P291" s="8" t="s">
        <v>39</v>
      </c>
      <c r="Q291">
        <v>5.01</v>
      </c>
      <c r="R291">
        <v>41.6</v>
      </c>
      <c r="S291" t="s">
        <v>40</v>
      </c>
      <c r="T291">
        <v>14</v>
      </c>
      <c r="U291">
        <f t="shared" si="20"/>
        <v>70.14</v>
      </c>
      <c r="V291">
        <v>0.6</v>
      </c>
      <c r="W291">
        <v>50</v>
      </c>
      <c r="X291">
        <v>0.35</v>
      </c>
      <c r="Y291">
        <f t="shared" si="21"/>
        <v>17.5</v>
      </c>
      <c r="Z291">
        <f t="shared" si="22"/>
        <v>42.083999999999996</v>
      </c>
      <c r="AA291">
        <f t="shared" si="23"/>
        <v>24.583999999999996</v>
      </c>
      <c r="AB291">
        <f t="shared" si="24"/>
        <v>500.53023999999988</v>
      </c>
    </row>
    <row r="292" spans="1:28" ht="25.5" x14ac:dyDescent="0.25">
      <c r="A292" s="7">
        <v>291</v>
      </c>
      <c r="B292" s="7" t="s">
        <v>15</v>
      </c>
      <c r="C292" s="7" t="s">
        <v>45</v>
      </c>
      <c r="D292" s="7" t="s">
        <v>388</v>
      </c>
      <c r="E292" s="7"/>
      <c r="F292" s="8"/>
      <c r="G292" s="7" t="s">
        <v>388</v>
      </c>
      <c r="H292" s="9">
        <v>36.634314000000003</v>
      </c>
      <c r="I292" s="9">
        <v>10.29208</v>
      </c>
      <c r="J292" s="7" t="s">
        <v>47</v>
      </c>
      <c r="K292" s="7" t="s">
        <v>37</v>
      </c>
      <c r="L292" s="7"/>
      <c r="M292" s="10">
        <v>21.1</v>
      </c>
      <c r="N292" s="7" t="s">
        <v>38</v>
      </c>
      <c r="O292" s="7"/>
      <c r="P292" s="8" t="s">
        <v>39</v>
      </c>
      <c r="Q292">
        <v>2.64</v>
      </c>
      <c r="R292">
        <v>11.4</v>
      </c>
      <c r="S292" t="s">
        <v>91</v>
      </c>
      <c r="T292">
        <v>18</v>
      </c>
      <c r="U292">
        <f t="shared" si="20"/>
        <v>47.52</v>
      </c>
      <c r="V292">
        <v>1.35</v>
      </c>
      <c r="W292">
        <v>0</v>
      </c>
      <c r="X292">
        <v>0</v>
      </c>
      <c r="Y292">
        <f t="shared" si="21"/>
        <v>0</v>
      </c>
      <c r="Z292">
        <f t="shared" si="22"/>
        <v>64.152000000000015</v>
      </c>
      <c r="AA292">
        <f t="shared" si="23"/>
        <v>64.152000000000015</v>
      </c>
      <c r="AB292">
        <f t="shared" si="24"/>
        <v>1353.6072000000004</v>
      </c>
    </row>
    <row r="293" spans="1:28" ht="25.5" x14ac:dyDescent="0.25">
      <c r="A293" s="7">
        <v>292</v>
      </c>
      <c r="B293" s="7" t="s">
        <v>15</v>
      </c>
      <c r="C293" s="7" t="s">
        <v>49</v>
      </c>
      <c r="D293" s="7" t="s">
        <v>389</v>
      </c>
      <c r="E293" s="7"/>
      <c r="F293" s="8"/>
      <c r="G293" s="7" t="s">
        <v>389</v>
      </c>
      <c r="H293" s="9">
        <v>37.148369000000002</v>
      </c>
      <c r="I293" s="9">
        <v>9.7882210000000001</v>
      </c>
      <c r="J293" s="7" t="s">
        <v>51</v>
      </c>
      <c r="K293" s="7" t="s">
        <v>37</v>
      </c>
      <c r="L293" s="7"/>
      <c r="M293" s="10">
        <v>9.18</v>
      </c>
      <c r="N293" s="7" t="s">
        <v>44</v>
      </c>
      <c r="O293" s="7"/>
      <c r="P293" s="8" t="s">
        <v>39</v>
      </c>
      <c r="Q293">
        <v>4.7300000000000004</v>
      </c>
      <c r="R293">
        <v>23.6</v>
      </c>
      <c r="S293" t="s">
        <v>53</v>
      </c>
      <c r="T293">
        <v>18</v>
      </c>
      <c r="U293">
        <f t="shared" si="20"/>
        <v>85.140000000000015</v>
      </c>
      <c r="V293">
        <v>1.1499999999999999</v>
      </c>
      <c r="W293">
        <v>120</v>
      </c>
      <c r="X293">
        <v>0.35</v>
      </c>
      <c r="Y293">
        <f t="shared" si="21"/>
        <v>42</v>
      </c>
      <c r="Z293">
        <f t="shared" si="22"/>
        <v>97.911000000000016</v>
      </c>
      <c r="AA293">
        <f t="shared" si="23"/>
        <v>55.911000000000016</v>
      </c>
      <c r="AB293">
        <f t="shared" si="24"/>
        <v>513.26298000000008</v>
      </c>
    </row>
    <row r="294" spans="1:28" ht="25.5" x14ac:dyDescent="0.25">
      <c r="A294" s="7">
        <v>293</v>
      </c>
      <c r="B294" s="7" t="s">
        <v>15</v>
      </c>
      <c r="C294" s="7" t="s">
        <v>54</v>
      </c>
      <c r="D294" s="7" t="s">
        <v>390</v>
      </c>
      <c r="E294" s="7"/>
      <c r="F294" s="8"/>
      <c r="G294" s="7" t="s">
        <v>390</v>
      </c>
      <c r="H294" s="9">
        <v>33.643183000000001</v>
      </c>
      <c r="I294" s="9">
        <v>10.305963</v>
      </c>
      <c r="J294" s="7" t="s">
        <v>56</v>
      </c>
      <c r="K294" s="7" t="s">
        <v>37</v>
      </c>
      <c r="L294" s="7"/>
      <c r="M294" s="10">
        <v>8.4</v>
      </c>
      <c r="N294" s="7" t="s">
        <v>48</v>
      </c>
      <c r="O294" s="7"/>
      <c r="P294" s="8" t="s">
        <v>39</v>
      </c>
      <c r="Q294">
        <v>1.85</v>
      </c>
      <c r="R294">
        <v>43.1</v>
      </c>
      <c r="S294" t="s">
        <v>40</v>
      </c>
      <c r="T294">
        <v>16</v>
      </c>
      <c r="U294">
        <f t="shared" si="20"/>
        <v>29.6</v>
      </c>
      <c r="V294">
        <v>0.54</v>
      </c>
      <c r="W294">
        <v>80</v>
      </c>
      <c r="X294">
        <v>0.35</v>
      </c>
      <c r="Y294">
        <f t="shared" si="21"/>
        <v>28</v>
      </c>
      <c r="Z294">
        <f t="shared" si="22"/>
        <v>15.984000000000002</v>
      </c>
      <c r="AA294">
        <f t="shared" si="23"/>
        <v>0</v>
      </c>
      <c r="AB294">
        <f t="shared" si="24"/>
        <v>0</v>
      </c>
    </row>
    <row r="295" spans="1:28" ht="25.5" x14ac:dyDescent="0.25">
      <c r="A295" s="7">
        <v>294</v>
      </c>
      <c r="B295" s="7" t="s">
        <v>15</v>
      </c>
      <c r="C295" s="7" t="s">
        <v>59</v>
      </c>
      <c r="D295" s="7" t="s">
        <v>391</v>
      </c>
      <c r="E295" s="7"/>
      <c r="F295" s="8"/>
      <c r="G295" s="7" t="s">
        <v>391</v>
      </c>
      <c r="H295" s="9">
        <v>34.317067000000002</v>
      </c>
      <c r="I295" s="9">
        <v>8.4012729999999998</v>
      </c>
      <c r="J295" s="7" t="s">
        <v>61</v>
      </c>
      <c r="K295" s="7" t="s">
        <v>37</v>
      </c>
      <c r="L295" s="7"/>
      <c r="M295" s="10">
        <v>10.15</v>
      </c>
      <c r="N295" s="7" t="s">
        <v>52</v>
      </c>
      <c r="O295" s="7"/>
      <c r="P295" s="8" t="s">
        <v>39</v>
      </c>
      <c r="Q295">
        <v>2.61</v>
      </c>
      <c r="R295">
        <v>43</v>
      </c>
      <c r="S295" t="s">
        <v>40</v>
      </c>
      <c r="T295">
        <v>12</v>
      </c>
      <c r="U295">
        <f t="shared" si="20"/>
        <v>31.32</v>
      </c>
      <c r="V295">
        <v>0.66</v>
      </c>
      <c r="W295">
        <v>50</v>
      </c>
      <c r="X295">
        <v>0.35</v>
      </c>
      <c r="Y295">
        <f t="shared" si="21"/>
        <v>17.5</v>
      </c>
      <c r="Z295">
        <f t="shared" si="22"/>
        <v>20.671200000000002</v>
      </c>
      <c r="AA295">
        <f t="shared" si="23"/>
        <v>3.1712000000000025</v>
      </c>
      <c r="AB295">
        <f t="shared" si="24"/>
        <v>32.187680000000029</v>
      </c>
    </row>
    <row r="296" spans="1:28" ht="25.5" x14ac:dyDescent="0.25">
      <c r="A296" s="7">
        <v>295</v>
      </c>
      <c r="B296" s="7" t="s">
        <v>15</v>
      </c>
      <c r="C296" s="7" t="s">
        <v>63</v>
      </c>
      <c r="D296" s="7" t="s">
        <v>392</v>
      </c>
      <c r="E296" s="7"/>
      <c r="F296" s="8"/>
      <c r="G296" s="7" t="s">
        <v>392</v>
      </c>
      <c r="H296" s="9">
        <v>36.947552000000002</v>
      </c>
      <c r="I296" s="9">
        <v>8.7708530000000007</v>
      </c>
      <c r="J296" s="7" t="s">
        <v>65</v>
      </c>
      <c r="K296" s="7" t="s">
        <v>37</v>
      </c>
      <c r="L296" s="7"/>
      <c r="M296" s="10">
        <v>11.15</v>
      </c>
      <c r="N296" s="7" t="s">
        <v>57</v>
      </c>
      <c r="O296" s="7"/>
      <c r="P296" s="8" t="s">
        <v>39</v>
      </c>
      <c r="Q296">
        <v>4.55</v>
      </c>
      <c r="R296">
        <v>38.299999999999997</v>
      </c>
      <c r="S296" t="s">
        <v>40</v>
      </c>
      <c r="T296">
        <v>8</v>
      </c>
      <c r="U296">
        <f t="shared" si="20"/>
        <v>36.4</v>
      </c>
      <c r="V296">
        <v>0.72</v>
      </c>
      <c r="W296">
        <v>0</v>
      </c>
      <c r="X296">
        <v>0</v>
      </c>
      <c r="Y296">
        <f t="shared" si="21"/>
        <v>0</v>
      </c>
      <c r="Z296">
        <f t="shared" si="22"/>
        <v>26.207999999999998</v>
      </c>
      <c r="AA296">
        <f t="shared" si="23"/>
        <v>26.207999999999998</v>
      </c>
      <c r="AB296">
        <f t="shared" si="24"/>
        <v>292.2192</v>
      </c>
    </row>
    <row r="297" spans="1:28" ht="25.5" x14ac:dyDescent="0.25">
      <c r="A297" s="7">
        <v>296</v>
      </c>
      <c r="B297" s="7" t="s">
        <v>15</v>
      </c>
      <c r="C297" s="7" t="s">
        <v>67</v>
      </c>
      <c r="D297" s="7" t="s">
        <v>393</v>
      </c>
      <c r="E297" s="7"/>
      <c r="F297" s="8"/>
      <c r="G297" s="7" t="s">
        <v>393</v>
      </c>
      <c r="H297" s="9">
        <v>35.615504000000001</v>
      </c>
      <c r="I297" s="9">
        <v>9.9306830000000001</v>
      </c>
      <c r="J297" s="7" t="s">
        <v>69</v>
      </c>
      <c r="K297" s="7" t="s">
        <v>37</v>
      </c>
      <c r="L297" s="7"/>
      <c r="M297" s="10">
        <v>16.55</v>
      </c>
      <c r="N297" s="7" t="s">
        <v>62</v>
      </c>
      <c r="O297" s="7"/>
      <c r="P297" s="8" t="s">
        <v>39</v>
      </c>
      <c r="Q297">
        <v>3.46</v>
      </c>
      <c r="R297">
        <v>40.299999999999997</v>
      </c>
      <c r="S297" t="s">
        <v>40</v>
      </c>
      <c r="T297">
        <v>7</v>
      </c>
      <c r="U297">
        <f t="shared" si="20"/>
        <v>24.22</v>
      </c>
      <c r="V297">
        <v>0.66</v>
      </c>
      <c r="W297">
        <v>160</v>
      </c>
      <c r="X297">
        <v>0.35</v>
      </c>
      <c r="Y297">
        <f t="shared" si="21"/>
        <v>56</v>
      </c>
      <c r="Z297">
        <f t="shared" si="22"/>
        <v>15.985200000000001</v>
      </c>
      <c r="AA297">
        <f t="shared" si="23"/>
        <v>0</v>
      </c>
      <c r="AB297">
        <f t="shared" si="24"/>
        <v>0</v>
      </c>
    </row>
    <row r="298" spans="1:28" ht="25.5" x14ac:dyDescent="0.25">
      <c r="A298" s="7">
        <v>297</v>
      </c>
      <c r="B298" s="7" t="s">
        <v>15</v>
      </c>
      <c r="C298" s="7" t="s">
        <v>71</v>
      </c>
      <c r="D298" s="7" t="s">
        <v>394</v>
      </c>
      <c r="E298" s="7"/>
      <c r="F298" s="8"/>
      <c r="G298" s="7" t="s">
        <v>394</v>
      </c>
      <c r="H298" s="9">
        <v>35.216386999999997</v>
      </c>
      <c r="I298" s="9">
        <v>9.1137770000000007</v>
      </c>
      <c r="J298" s="7" t="s">
        <v>73</v>
      </c>
      <c r="K298" s="7" t="s">
        <v>37</v>
      </c>
      <c r="L298" s="7"/>
      <c r="M298" s="10">
        <v>23.69</v>
      </c>
      <c r="N298" s="7" t="s">
        <v>66</v>
      </c>
      <c r="O298" s="7"/>
      <c r="P298" s="8" t="s">
        <v>39</v>
      </c>
      <c r="Q298">
        <v>4.58</v>
      </c>
      <c r="R298">
        <v>42.5</v>
      </c>
      <c r="S298" t="s">
        <v>40</v>
      </c>
      <c r="T298">
        <v>10</v>
      </c>
      <c r="U298">
        <f t="shared" si="20"/>
        <v>45.8</v>
      </c>
      <c r="V298">
        <v>0.48</v>
      </c>
      <c r="W298">
        <v>160</v>
      </c>
      <c r="X298">
        <v>0.35</v>
      </c>
      <c r="Y298">
        <f t="shared" si="21"/>
        <v>56</v>
      </c>
      <c r="Z298">
        <f t="shared" si="22"/>
        <v>21.983999999999998</v>
      </c>
      <c r="AA298">
        <f t="shared" si="23"/>
        <v>0</v>
      </c>
      <c r="AB298">
        <f t="shared" si="24"/>
        <v>0</v>
      </c>
    </row>
    <row r="299" spans="1:28" ht="25.5" x14ac:dyDescent="0.25">
      <c r="A299" s="7">
        <v>298</v>
      </c>
      <c r="B299" s="7" t="s">
        <v>15</v>
      </c>
      <c r="C299" s="7" t="s">
        <v>75</v>
      </c>
      <c r="D299" s="7" t="s">
        <v>395</v>
      </c>
      <c r="E299" s="7"/>
      <c r="F299" s="8"/>
      <c r="G299" s="7" t="s">
        <v>395</v>
      </c>
      <c r="H299" s="9">
        <v>33.470300000000002</v>
      </c>
      <c r="I299" s="9">
        <v>9.0395880000000002</v>
      </c>
      <c r="J299" s="7" t="s">
        <v>77</v>
      </c>
      <c r="K299" s="7" t="s">
        <v>37</v>
      </c>
      <c r="L299" s="7"/>
      <c r="M299" s="10">
        <v>9.34</v>
      </c>
      <c r="N299" s="7" t="s">
        <v>70</v>
      </c>
      <c r="O299" s="7"/>
      <c r="P299" s="8" t="s">
        <v>39</v>
      </c>
      <c r="Q299">
        <v>3.04</v>
      </c>
      <c r="R299">
        <v>14.4</v>
      </c>
      <c r="S299" t="s">
        <v>91</v>
      </c>
      <c r="T299">
        <v>9</v>
      </c>
      <c r="U299">
        <f t="shared" si="20"/>
        <v>27.36</v>
      </c>
      <c r="V299">
        <v>1.22</v>
      </c>
      <c r="W299">
        <v>0</v>
      </c>
      <c r="X299">
        <v>0</v>
      </c>
      <c r="Y299">
        <f t="shared" si="21"/>
        <v>0</v>
      </c>
      <c r="Z299">
        <f t="shared" si="22"/>
        <v>33.379199999999997</v>
      </c>
      <c r="AA299">
        <f t="shared" si="23"/>
        <v>33.379199999999997</v>
      </c>
      <c r="AB299">
        <f t="shared" si="24"/>
        <v>311.76172799999995</v>
      </c>
    </row>
    <row r="300" spans="1:28" ht="25.5" x14ac:dyDescent="0.25">
      <c r="A300" s="7">
        <v>299</v>
      </c>
      <c r="B300" s="7" t="s">
        <v>15</v>
      </c>
      <c r="C300" s="7" t="s">
        <v>79</v>
      </c>
      <c r="D300" s="7" t="s">
        <v>396</v>
      </c>
      <c r="E300" s="7"/>
      <c r="F300" s="8"/>
      <c r="G300" s="7" t="s">
        <v>396</v>
      </c>
      <c r="H300" s="9">
        <v>35.936134000000003</v>
      </c>
      <c r="I300" s="9">
        <v>8.8289930000000005</v>
      </c>
      <c r="J300" s="7" t="s">
        <v>81</v>
      </c>
      <c r="K300" s="7" t="s">
        <v>37</v>
      </c>
      <c r="L300" s="7"/>
      <c r="M300" s="10">
        <v>3.82</v>
      </c>
      <c r="N300" s="7" t="s">
        <v>74</v>
      </c>
      <c r="O300" s="7"/>
      <c r="P300" s="8" t="s">
        <v>39</v>
      </c>
      <c r="Q300">
        <v>2.46</v>
      </c>
      <c r="R300">
        <v>39.4</v>
      </c>
      <c r="S300" t="s">
        <v>40</v>
      </c>
      <c r="T300">
        <v>10</v>
      </c>
      <c r="U300">
        <f t="shared" si="20"/>
        <v>24.6</v>
      </c>
      <c r="V300">
        <v>0.54</v>
      </c>
      <c r="W300">
        <v>120</v>
      </c>
      <c r="X300">
        <v>0.35</v>
      </c>
      <c r="Y300">
        <f t="shared" si="21"/>
        <v>42</v>
      </c>
      <c r="Z300">
        <f t="shared" si="22"/>
        <v>13.284000000000002</v>
      </c>
      <c r="AA300">
        <f t="shared" si="23"/>
        <v>0</v>
      </c>
      <c r="AB300">
        <f t="shared" si="24"/>
        <v>0</v>
      </c>
    </row>
    <row r="301" spans="1:28" ht="25.5" x14ac:dyDescent="0.25">
      <c r="A301" s="7">
        <v>300</v>
      </c>
      <c r="B301" s="7" t="s">
        <v>15</v>
      </c>
      <c r="C301" s="7" t="s">
        <v>82</v>
      </c>
      <c r="D301" s="7" t="s">
        <v>397</v>
      </c>
      <c r="E301" s="7"/>
      <c r="F301" s="8"/>
      <c r="G301" s="7" t="s">
        <v>397</v>
      </c>
      <c r="H301" s="9">
        <v>35.217762999999998</v>
      </c>
      <c r="I301" s="9">
        <v>11.111293</v>
      </c>
      <c r="J301" s="7" t="s">
        <v>84</v>
      </c>
      <c r="K301" s="7" t="s">
        <v>37</v>
      </c>
      <c r="L301" s="7"/>
      <c r="M301" s="10">
        <v>5.49</v>
      </c>
      <c r="N301" s="7" t="s">
        <v>78</v>
      </c>
      <c r="O301" s="7"/>
      <c r="P301" s="8" t="s">
        <v>39</v>
      </c>
      <c r="Q301">
        <v>4.72</v>
      </c>
      <c r="R301">
        <v>34.299999999999997</v>
      </c>
      <c r="S301" t="s">
        <v>58</v>
      </c>
      <c r="T301">
        <v>14</v>
      </c>
      <c r="U301">
        <f t="shared" si="20"/>
        <v>66.08</v>
      </c>
      <c r="V301">
        <v>0.9</v>
      </c>
      <c r="W301">
        <v>160</v>
      </c>
      <c r="X301">
        <v>0.35</v>
      </c>
      <c r="Y301">
        <f t="shared" si="21"/>
        <v>56</v>
      </c>
      <c r="Z301">
        <f t="shared" si="22"/>
        <v>59.472000000000001</v>
      </c>
      <c r="AA301">
        <f t="shared" si="23"/>
        <v>3.4720000000000013</v>
      </c>
      <c r="AB301">
        <f t="shared" si="24"/>
        <v>19.061280000000007</v>
      </c>
    </row>
    <row r="302" spans="1:28" ht="25.5" x14ac:dyDescent="0.25">
      <c r="A302" s="7">
        <v>301</v>
      </c>
      <c r="B302" s="7" t="s">
        <v>15</v>
      </c>
      <c r="C302" s="7" t="s">
        <v>85</v>
      </c>
      <c r="D302" s="7" t="s">
        <v>398</v>
      </c>
      <c r="E302" s="7"/>
      <c r="F302" s="8"/>
      <c r="G302" s="7" t="s">
        <v>398</v>
      </c>
      <c r="H302" s="9">
        <v>36.821803000000003</v>
      </c>
      <c r="I302" s="9">
        <v>9.8306199999999997</v>
      </c>
      <c r="J302" s="7" t="s">
        <v>87</v>
      </c>
      <c r="K302" s="7" t="s">
        <v>37</v>
      </c>
      <c r="L302" s="7"/>
      <c r="M302" s="10">
        <v>16.72</v>
      </c>
      <c r="N302" s="7" t="s">
        <v>38</v>
      </c>
      <c r="O302" s="7"/>
      <c r="P302" s="8" t="s">
        <v>39</v>
      </c>
      <c r="Q302">
        <v>5.54</v>
      </c>
      <c r="R302">
        <v>13.4</v>
      </c>
      <c r="S302" t="s">
        <v>91</v>
      </c>
      <c r="T302">
        <v>18</v>
      </c>
      <c r="U302">
        <f t="shared" si="20"/>
        <v>99.72</v>
      </c>
      <c r="V302">
        <v>1.35</v>
      </c>
      <c r="W302">
        <v>120</v>
      </c>
      <c r="X302">
        <v>0.35</v>
      </c>
      <c r="Y302">
        <f t="shared" si="21"/>
        <v>42</v>
      </c>
      <c r="Z302">
        <f t="shared" si="22"/>
        <v>134.62200000000001</v>
      </c>
      <c r="AA302">
        <f t="shared" si="23"/>
        <v>92.622000000000014</v>
      </c>
      <c r="AB302">
        <f t="shared" si="24"/>
        <v>1548.63984</v>
      </c>
    </row>
    <row r="303" spans="1:28" ht="25.5" x14ac:dyDescent="0.25">
      <c r="A303" s="7">
        <v>302</v>
      </c>
      <c r="B303" s="7" t="s">
        <v>15</v>
      </c>
      <c r="C303" s="7" t="s">
        <v>88</v>
      </c>
      <c r="D303" s="7" t="s">
        <v>399</v>
      </c>
      <c r="E303" s="7"/>
      <c r="F303" s="8"/>
      <c r="G303" s="7" t="s">
        <v>399</v>
      </c>
      <c r="H303" s="9">
        <v>33.781936000000002</v>
      </c>
      <c r="I303" s="9">
        <v>11.006933</v>
      </c>
      <c r="J303" s="7" t="s">
        <v>90</v>
      </c>
      <c r="K303" s="7" t="s">
        <v>37</v>
      </c>
      <c r="L303" s="7"/>
      <c r="M303" s="10">
        <v>20.76</v>
      </c>
      <c r="N303" s="7" t="s">
        <v>44</v>
      </c>
      <c r="O303" s="7"/>
      <c r="P303" s="8" t="s">
        <v>39</v>
      </c>
      <c r="Q303">
        <v>2.86</v>
      </c>
      <c r="R303">
        <v>41.3</v>
      </c>
      <c r="S303" t="s">
        <v>40</v>
      </c>
      <c r="T303">
        <v>18</v>
      </c>
      <c r="U303">
        <f t="shared" si="20"/>
        <v>51.48</v>
      </c>
      <c r="V303">
        <v>0.6</v>
      </c>
      <c r="W303">
        <v>0</v>
      </c>
      <c r="X303">
        <v>0</v>
      </c>
      <c r="Y303">
        <f t="shared" si="21"/>
        <v>0</v>
      </c>
      <c r="Z303">
        <f t="shared" si="22"/>
        <v>30.887999999999998</v>
      </c>
      <c r="AA303">
        <f t="shared" si="23"/>
        <v>30.887999999999998</v>
      </c>
      <c r="AB303">
        <f t="shared" si="24"/>
        <v>641.23487999999998</v>
      </c>
    </row>
    <row r="304" spans="1:28" ht="25.5" x14ac:dyDescent="0.25">
      <c r="A304" s="7">
        <v>303</v>
      </c>
      <c r="B304" s="7" t="s">
        <v>15</v>
      </c>
      <c r="C304" s="7" t="s">
        <v>92</v>
      </c>
      <c r="D304" s="7" t="s">
        <v>400</v>
      </c>
      <c r="E304" s="7"/>
      <c r="F304" s="8"/>
      <c r="G304" s="7" t="s">
        <v>400</v>
      </c>
      <c r="H304" s="9">
        <v>35.635438000000001</v>
      </c>
      <c r="I304" s="9">
        <v>10.770944999999999</v>
      </c>
      <c r="J304" s="7" t="s">
        <v>94</v>
      </c>
      <c r="K304" s="7" t="s">
        <v>37</v>
      </c>
      <c r="L304" s="7"/>
      <c r="M304" s="10">
        <v>0.61</v>
      </c>
      <c r="N304" s="7" t="s">
        <v>48</v>
      </c>
      <c r="O304" s="7"/>
      <c r="P304" s="8" t="s">
        <v>39</v>
      </c>
      <c r="Q304">
        <v>6.66</v>
      </c>
      <c r="R304">
        <v>41.9</v>
      </c>
      <c r="S304" t="s">
        <v>40</v>
      </c>
      <c r="T304">
        <v>16</v>
      </c>
      <c r="U304">
        <f t="shared" si="20"/>
        <v>106.56</v>
      </c>
      <c r="V304">
        <v>0.54</v>
      </c>
      <c r="W304">
        <v>160</v>
      </c>
      <c r="X304">
        <v>0.35</v>
      </c>
      <c r="Y304">
        <f t="shared" si="21"/>
        <v>56</v>
      </c>
      <c r="Z304">
        <f t="shared" si="22"/>
        <v>57.542400000000008</v>
      </c>
      <c r="AA304">
        <f t="shared" si="23"/>
        <v>1.5424000000000078</v>
      </c>
      <c r="AB304">
        <f t="shared" si="24"/>
        <v>0.9408640000000047</v>
      </c>
    </row>
    <row r="305" spans="1:28" ht="25.5" x14ac:dyDescent="0.25">
      <c r="A305" s="7">
        <v>304</v>
      </c>
      <c r="B305" s="7" t="s">
        <v>15</v>
      </c>
      <c r="C305" s="7" t="s">
        <v>95</v>
      </c>
      <c r="D305" s="7" t="s">
        <v>401</v>
      </c>
      <c r="E305" s="7"/>
      <c r="F305" s="8"/>
      <c r="G305" s="7" t="s">
        <v>401</v>
      </c>
      <c r="H305" s="9">
        <v>36.541998999999997</v>
      </c>
      <c r="I305" s="9">
        <v>10.851124</v>
      </c>
      <c r="J305" s="7" t="s">
        <v>97</v>
      </c>
      <c r="K305" s="7" t="s">
        <v>37</v>
      </c>
      <c r="L305" s="7"/>
      <c r="M305" s="10">
        <v>20.21</v>
      </c>
      <c r="N305" s="7" t="s">
        <v>52</v>
      </c>
      <c r="O305" s="7"/>
      <c r="P305" s="8" t="s">
        <v>39</v>
      </c>
      <c r="Q305">
        <v>6.77</v>
      </c>
      <c r="R305">
        <v>15</v>
      </c>
      <c r="S305" t="s">
        <v>53</v>
      </c>
      <c r="T305">
        <v>12</v>
      </c>
      <c r="U305">
        <f t="shared" si="20"/>
        <v>81.239999999999995</v>
      </c>
      <c r="V305">
        <v>1.26</v>
      </c>
      <c r="W305">
        <v>0</v>
      </c>
      <c r="X305">
        <v>0</v>
      </c>
      <c r="Y305">
        <f t="shared" si="21"/>
        <v>0</v>
      </c>
      <c r="Z305">
        <f t="shared" si="22"/>
        <v>102.36239999999999</v>
      </c>
      <c r="AA305">
        <f t="shared" si="23"/>
        <v>102.36239999999999</v>
      </c>
      <c r="AB305">
        <f t="shared" si="24"/>
        <v>2068.7441039999999</v>
      </c>
    </row>
    <row r="306" spans="1:28" ht="25.5" x14ac:dyDescent="0.25">
      <c r="A306" s="7">
        <v>305</v>
      </c>
      <c r="B306" s="7" t="s">
        <v>15</v>
      </c>
      <c r="C306" s="7" t="s">
        <v>98</v>
      </c>
      <c r="D306" s="7" t="s">
        <v>402</v>
      </c>
      <c r="E306" s="7"/>
      <c r="F306" s="8"/>
      <c r="G306" s="7" t="s">
        <v>402</v>
      </c>
      <c r="H306" s="9">
        <v>34.750826000000004</v>
      </c>
      <c r="I306" s="9">
        <v>10.515806</v>
      </c>
      <c r="J306" s="7" t="s">
        <v>100</v>
      </c>
      <c r="K306" s="7" t="s">
        <v>37</v>
      </c>
      <c r="L306" s="7"/>
      <c r="M306" s="10">
        <v>1.45</v>
      </c>
      <c r="N306" s="7" t="s">
        <v>57</v>
      </c>
      <c r="O306" s="7"/>
      <c r="P306" s="8" t="s">
        <v>39</v>
      </c>
      <c r="Q306">
        <v>6.98</v>
      </c>
      <c r="R306">
        <v>43.3</v>
      </c>
      <c r="S306" t="s">
        <v>40</v>
      </c>
      <c r="T306">
        <v>8</v>
      </c>
      <c r="U306">
        <f t="shared" si="20"/>
        <v>55.84</v>
      </c>
      <c r="V306">
        <v>0.72</v>
      </c>
      <c r="W306">
        <v>120</v>
      </c>
      <c r="X306">
        <v>0.35</v>
      </c>
      <c r="Y306">
        <f t="shared" si="21"/>
        <v>42</v>
      </c>
      <c r="Z306">
        <f t="shared" si="22"/>
        <v>40.204799999999999</v>
      </c>
      <c r="AA306">
        <f t="shared" si="23"/>
        <v>0</v>
      </c>
      <c r="AB306">
        <f t="shared" si="24"/>
        <v>0</v>
      </c>
    </row>
    <row r="307" spans="1:28" ht="25.5" x14ac:dyDescent="0.25">
      <c r="A307" s="7">
        <v>306</v>
      </c>
      <c r="B307" s="7" t="s">
        <v>15</v>
      </c>
      <c r="C307" s="7" t="s">
        <v>101</v>
      </c>
      <c r="D307" s="7" t="s">
        <v>403</v>
      </c>
      <c r="E307" s="7"/>
      <c r="F307" s="8"/>
      <c r="G307" s="7" t="s">
        <v>403</v>
      </c>
      <c r="H307" s="9">
        <v>34.909246000000003</v>
      </c>
      <c r="I307" s="9">
        <v>9.7906340000000007</v>
      </c>
      <c r="J307" s="7" t="s">
        <v>103</v>
      </c>
      <c r="K307" s="7" t="s">
        <v>37</v>
      </c>
      <c r="L307" s="7"/>
      <c r="M307" s="10">
        <v>24.96</v>
      </c>
      <c r="N307" s="7" t="s">
        <v>62</v>
      </c>
      <c r="O307" s="7"/>
      <c r="P307" s="8" t="s">
        <v>39</v>
      </c>
      <c r="Q307">
        <v>7.97</v>
      </c>
      <c r="R307">
        <v>13.7</v>
      </c>
      <c r="S307" t="s">
        <v>91</v>
      </c>
      <c r="T307">
        <v>7</v>
      </c>
      <c r="U307">
        <f t="shared" si="20"/>
        <v>55.79</v>
      </c>
      <c r="V307">
        <v>1.49</v>
      </c>
      <c r="W307">
        <v>80</v>
      </c>
      <c r="X307">
        <v>0.35</v>
      </c>
      <c r="Y307">
        <f t="shared" si="21"/>
        <v>28</v>
      </c>
      <c r="Z307">
        <f t="shared" si="22"/>
        <v>83.127099999999999</v>
      </c>
      <c r="AA307">
        <f t="shared" si="23"/>
        <v>55.127099999999999</v>
      </c>
      <c r="AB307">
        <f t="shared" si="24"/>
        <v>1375.9724160000001</v>
      </c>
    </row>
    <row r="308" spans="1:28" ht="25.5" x14ac:dyDescent="0.25">
      <c r="A308" s="7">
        <v>307</v>
      </c>
      <c r="B308" s="7" t="s">
        <v>15</v>
      </c>
      <c r="C308" s="7" t="s">
        <v>104</v>
      </c>
      <c r="D308" s="7" t="s">
        <v>404</v>
      </c>
      <c r="E308" s="7"/>
      <c r="F308" s="8"/>
      <c r="G308" s="7" t="s">
        <v>404</v>
      </c>
      <c r="H308" s="9">
        <v>35.857807000000001</v>
      </c>
      <c r="I308" s="9">
        <v>9.195513</v>
      </c>
      <c r="J308" s="7" t="s">
        <v>106</v>
      </c>
      <c r="K308" s="7" t="s">
        <v>37</v>
      </c>
      <c r="L308" s="7"/>
      <c r="M308" s="10">
        <v>14.58</v>
      </c>
      <c r="N308" s="7" t="s">
        <v>66</v>
      </c>
      <c r="O308" s="7"/>
      <c r="P308" s="8" t="s">
        <v>39</v>
      </c>
      <c r="Q308">
        <v>1.88</v>
      </c>
      <c r="R308">
        <v>29.3</v>
      </c>
      <c r="S308" t="s">
        <v>58</v>
      </c>
      <c r="T308">
        <v>10</v>
      </c>
      <c r="U308">
        <f t="shared" si="20"/>
        <v>18.799999999999997</v>
      </c>
      <c r="V308">
        <v>0.72</v>
      </c>
      <c r="W308">
        <v>0</v>
      </c>
      <c r="X308">
        <v>0</v>
      </c>
      <c r="Y308">
        <f t="shared" si="21"/>
        <v>0</v>
      </c>
      <c r="Z308">
        <f t="shared" si="22"/>
        <v>13.535999999999998</v>
      </c>
      <c r="AA308">
        <f t="shared" si="23"/>
        <v>13.535999999999998</v>
      </c>
      <c r="AB308">
        <f t="shared" si="24"/>
        <v>197.35487999999998</v>
      </c>
    </row>
    <row r="309" spans="1:28" ht="25.5" x14ac:dyDescent="0.25">
      <c r="A309" s="7">
        <v>308</v>
      </c>
      <c r="B309" s="7" t="s">
        <v>15</v>
      </c>
      <c r="C309" s="7" t="s">
        <v>107</v>
      </c>
      <c r="D309" s="7" t="s">
        <v>405</v>
      </c>
      <c r="E309" s="7"/>
      <c r="F309" s="8"/>
      <c r="G309" s="7" t="s">
        <v>405</v>
      </c>
      <c r="H309" s="9">
        <v>36.136412</v>
      </c>
      <c r="I309" s="9">
        <v>10.383974</v>
      </c>
      <c r="J309" s="7" t="s">
        <v>109</v>
      </c>
      <c r="K309" s="7" t="s">
        <v>37</v>
      </c>
      <c r="L309" s="7"/>
      <c r="M309" s="10">
        <v>12.82</v>
      </c>
      <c r="N309" s="7" t="s">
        <v>70</v>
      </c>
      <c r="O309" s="7"/>
      <c r="P309" s="8" t="s">
        <v>39</v>
      </c>
      <c r="Q309">
        <v>6.32</v>
      </c>
      <c r="R309">
        <v>26.7</v>
      </c>
      <c r="S309" t="s">
        <v>58</v>
      </c>
      <c r="T309">
        <v>9</v>
      </c>
      <c r="U309">
        <f t="shared" si="20"/>
        <v>56.88</v>
      </c>
      <c r="V309">
        <v>0.81</v>
      </c>
      <c r="W309">
        <v>120</v>
      </c>
      <c r="X309">
        <v>0.35</v>
      </c>
      <c r="Y309">
        <f t="shared" si="21"/>
        <v>42</v>
      </c>
      <c r="Z309">
        <f t="shared" si="22"/>
        <v>46.072800000000008</v>
      </c>
      <c r="AA309">
        <f t="shared" si="23"/>
        <v>4.072800000000008</v>
      </c>
      <c r="AB309">
        <f t="shared" si="24"/>
        <v>52.213296000000106</v>
      </c>
    </row>
    <row r="310" spans="1:28" ht="25.5" x14ac:dyDescent="0.25">
      <c r="A310" s="7">
        <v>309</v>
      </c>
      <c r="B310" s="7" t="s">
        <v>15</v>
      </c>
      <c r="C310" s="7" t="s">
        <v>110</v>
      </c>
      <c r="D310" s="7" t="s">
        <v>406</v>
      </c>
      <c r="E310" s="7"/>
      <c r="F310" s="8"/>
      <c r="G310" s="7" t="s">
        <v>406</v>
      </c>
      <c r="H310" s="9">
        <v>33.144362999999998</v>
      </c>
      <c r="I310" s="9">
        <v>10.234531</v>
      </c>
      <c r="J310" s="7" t="s">
        <v>112</v>
      </c>
      <c r="K310" s="7" t="s">
        <v>37</v>
      </c>
      <c r="L310" s="7"/>
      <c r="M310" s="10">
        <v>23.94</v>
      </c>
      <c r="N310" s="7" t="s">
        <v>74</v>
      </c>
      <c r="O310" s="7"/>
      <c r="P310" s="8" t="s">
        <v>39</v>
      </c>
      <c r="Q310">
        <v>5.91</v>
      </c>
      <c r="R310">
        <v>35.299999999999997</v>
      </c>
      <c r="S310" t="s">
        <v>40</v>
      </c>
      <c r="T310">
        <v>10</v>
      </c>
      <c r="U310">
        <f t="shared" si="20"/>
        <v>59.1</v>
      </c>
      <c r="V310">
        <v>0.54</v>
      </c>
      <c r="W310">
        <v>80</v>
      </c>
      <c r="X310">
        <v>0.35</v>
      </c>
      <c r="Y310">
        <f t="shared" si="21"/>
        <v>28</v>
      </c>
      <c r="Z310">
        <f t="shared" si="22"/>
        <v>31.914000000000001</v>
      </c>
      <c r="AA310">
        <f t="shared" si="23"/>
        <v>3.9140000000000015</v>
      </c>
      <c r="AB310">
        <f t="shared" si="24"/>
        <v>93.701160000000044</v>
      </c>
    </row>
    <row r="311" spans="1:28" ht="25.5" x14ac:dyDescent="0.25">
      <c r="A311" s="7">
        <v>310</v>
      </c>
      <c r="B311" s="7" t="s">
        <v>15</v>
      </c>
      <c r="C311" s="7" t="s">
        <v>113</v>
      </c>
      <c r="D311" s="7" t="s">
        <v>407</v>
      </c>
      <c r="E311" s="7"/>
      <c r="F311" s="8"/>
      <c r="G311" s="7" t="s">
        <v>407</v>
      </c>
      <c r="H311" s="9">
        <v>33.86204</v>
      </c>
      <c r="I311" s="9">
        <v>7.8975530000000003</v>
      </c>
      <c r="J311" s="7" t="s">
        <v>115</v>
      </c>
      <c r="K311" s="7" t="s">
        <v>37</v>
      </c>
      <c r="L311" s="7"/>
      <c r="M311" s="10">
        <v>16.55</v>
      </c>
      <c r="N311" s="7" t="s">
        <v>78</v>
      </c>
      <c r="O311" s="7"/>
      <c r="P311" s="8" t="s">
        <v>39</v>
      </c>
      <c r="Q311">
        <v>5.5</v>
      </c>
      <c r="R311">
        <v>31.5</v>
      </c>
      <c r="S311" t="s">
        <v>58</v>
      </c>
      <c r="T311">
        <v>14</v>
      </c>
      <c r="U311">
        <f t="shared" si="20"/>
        <v>77</v>
      </c>
      <c r="V311">
        <v>0.9</v>
      </c>
      <c r="W311">
        <v>0</v>
      </c>
      <c r="X311">
        <v>0</v>
      </c>
      <c r="Y311">
        <f t="shared" si="21"/>
        <v>0</v>
      </c>
      <c r="Z311">
        <f t="shared" si="22"/>
        <v>69.3</v>
      </c>
      <c r="AA311">
        <f t="shared" si="23"/>
        <v>69.3</v>
      </c>
      <c r="AB311">
        <f t="shared" si="24"/>
        <v>1146.915</v>
      </c>
    </row>
    <row r="312" spans="1:28" ht="25.5" x14ac:dyDescent="0.25">
      <c r="A312" s="7">
        <v>311</v>
      </c>
      <c r="B312" s="7" t="s">
        <v>15</v>
      </c>
      <c r="C312" s="7" t="s">
        <v>116</v>
      </c>
      <c r="D312" s="7" t="s">
        <v>408</v>
      </c>
      <c r="E312" s="7"/>
      <c r="F312" s="8"/>
      <c r="G312" s="7" t="s">
        <v>408</v>
      </c>
      <c r="H312" s="9">
        <v>36.872250999999999</v>
      </c>
      <c r="I312" s="9">
        <v>10.345587999999999</v>
      </c>
      <c r="J312" s="7" t="s">
        <v>118</v>
      </c>
      <c r="K312" s="7" t="s">
        <v>37</v>
      </c>
      <c r="L312" s="7"/>
      <c r="M312" s="10">
        <v>1.65</v>
      </c>
      <c r="N312" s="7" t="s">
        <v>38</v>
      </c>
      <c r="O312" s="7"/>
      <c r="P312" s="8" t="s">
        <v>39</v>
      </c>
      <c r="Q312">
        <v>5.86</v>
      </c>
      <c r="R312">
        <v>36.9</v>
      </c>
      <c r="S312" t="s">
        <v>40</v>
      </c>
      <c r="T312">
        <v>18</v>
      </c>
      <c r="U312">
        <f t="shared" si="20"/>
        <v>105.48</v>
      </c>
      <c r="V312">
        <v>0.6</v>
      </c>
      <c r="W312">
        <v>0</v>
      </c>
      <c r="X312">
        <v>0</v>
      </c>
      <c r="Y312">
        <f t="shared" si="21"/>
        <v>0</v>
      </c>
      <c r="Z312">
        <f t="shared" si="22"/>
        <v>63.287999999999997</v>
      </c>
      <c r="AA312">
        <f t="shared" si="23"/>
        <v>63.287999999999997</v>
      </c>
      <c r="AB312">
        <f t="shared" si="24"/>
        <v>104.42519999999999</v>
      </c>
    </row>
    <row r="313" spans="1:28" ht="25.5" x14ac:dyDescent="0.25">
      <c r="A313" s="7">
        <v>312</v>
      </c>
      <c r="B313" s="7" t="s">
        <v>15</v>
      </c>
      <c r="C313" s="7" t="s">
        <v>119</v>
      </c>
      <c r="D313" s="7" t="s">
        <v>409</v>
      </c>
      <c r="E313" s="7"/>
      <c r="F313" s="8"/>
      <c r="G313" s="7" t="s">
        <v>409</v>
      </c>
      <c r="H313" s="9">
        <v>36.380704000000001</v>
      </c>
      <c r="I313" s="9">
        <v>9.6242699999999992</v>
      </c>
      <c r="J313" s="7" t="s">
        <v>121</v>
      </c>
      <c r="K313" s="7" t="s">
        <v>37</v>
      </c>
      <c r="L313" s="7"/>
      <c r="M313" s="10">
        <v>0.96</v>
      </c>
      <c r="N313" s="7" t="s">
        <v>44</v>
      </c>
      <c r="O313" s="7"/>
      <c r="P313" s="8" t="s">
        <v>39</v>
      </c>
      <c r="Q313">
        <v>5.08</v>
      </c>
      <c r="R313">
        <v>10.7</v>
      </c>
      <c r="S313" t="s">
        <v>91</v>
      </c>
      <c r="T313">
        <v>18</v>
      </c>
      <c r="U313">
        <f t="shared" si="20"/>
        <v>91.44</v>
      </c>
      <c r="V313">
        <v>1.35</v>
      </c>
      <c r="W313">
        <v>80</v>
      </c>
      <c r="X313">
        <v>0.35</v>
      </c>
      <c r="Y313">
        <f t="shared" si="21"/>
        <v>28</v>
      </c>
      <c r="Z313">
        <f t="shared" si="22"/>
        <v>123.444</v>
      </c>
      <c r="AA313">
        <f t="shared" si="23"/>
        <v>95.444000000000003</v>
      </c>
      <c r="AB313">
        <f t="shared" si="24"/>
        <v>91.626239999999996</v>
      </c>
    </row>
    <row r="314" spans="1:28" ht="25.5" x14ac:dyDescent="0.25">
      <c r="A314" s="7">
        <v>313</v>
      </c>
      <c r="B314" s="7" t="s">
        <v>15</v>
      </c>
      <c r="C314" s="7" t="s">
        <v>34</v>
      </c>
      <c r="D314" s="7" t="s">
        <v>410</v>
      </c>
      <c r="E314" s="7"/>
      <c r="F314" s="8"/>
      <c r="G314" s="7" t="s">
        <v>410</v>
      </c>
      <c r="H314" s="9">
        <v>36.895003000000003</v>
      </c>
      <c r="I314" s="9">
        <v>10.224657000000001</v>
      </c>
      <c r="J314" s="7" t="s">
        <v>36</v>
      </c>
      <c r="K314" s="7" t="s">
        <v>37</v>
      </c>
      <c r="L314" s="7"/>
      <c r="M314" s="10">
        <v>4.76</v>
      </c>
      <c r="N314" s="7" t="s">
        <v>48</v>
      </c>
      <c r="O314" s="7"/>
      <c r="P314" s="8" t="s">
        <v>39</v>
      </c>
      <c r="Q314">
        <v>7.52</v>
      </c>
      <c r="R314">
        <v>20.399999999999999</v>
      </c>
      <c r="S314" t="s">
        <v>53</v>
      </c>
      <c r="T314">
        <v>16</v>
      </c>
      <c r="U314">
        <f t="shared" si="20"/>
        <v>120.32</v>
      </c>
      <c r="V314">
        <v>1.03</v>
      </c>
      <c r="W314">
        <v>160</v>
      </c>
      <c r="X314">
        <v>0.35</v>
      </c>
      <c r="Y314">
        <f t="shared" si="21"/>
        <v>56</v>
      </c>
      <c r="Z314">
        <f t="shared" si="22"/>
        <v>123.92959999999999</v>
      </c>
      <c r="AA314">
        <f t="shared" si="23"/>
        <v>67.929599999999994</v>
      </c>
      <c r="AB314">
        <f t="shared" si="24"/>
        <v>323.34489599999995</v>
      </c>
    </row>
    <row r="315" spans="1:28" ht="25.5" x14ac:dyDescent="0.25">
      <c r="A315" s="7">
        <v>314</v>
      </c>
      <c r="B315" s="7" t="s">
        <v>15</v>
      </c>
      <c r="C315" s="7" t="s">
        <v>41</v>
      </c>
      <c r="D315" s="7" t="s">
        <v>411</v>
      </c>
      <c r="E315" s="7"/>
      <c r="F315" s="8"/>
      <c r="G315" s="7" t="s">
        <v>411</v>
      </c>
      <c r="H315" s="9">
        <v>36.641057000000004</v>
      </c>
      <c r="I315" s="9">
        <v>9.6344639999999995</v>
      </c>
      <c r="J315" s="7" t="s">
        <v>43</v>
      </c>
      <c r="K315" s="7" t="s">
        <v>37</v>
      </c>
      <c r="L315" s="7"/>
      <c r="M315" s="10">
        <v>19.739999999999998</v>
      </c>
      <c r="N315" s="7" t="s">
        <v>52</v>
      </c>
      <c r="O315" s="7"/>
      <c r="P315" s="8" t="s">
        <v>39</v>
      </c>
      <c r="Q315">
        <v>3.36</v>
      </c>
      <c r="R315">
        <v>28.3</v>
      </c>
      <c r="S315" t="s">
        <v>58</v>
      </c>
      <c r="T315">
        <v>12</v>
      </c>
      <c r="U315">
        <f t="shared" si="20"/>
        <v>40.32</v>
      </c>
      <c r="V315">
        <v>0.99</v>
      </c>
      <c r="W315">
        <v>0</v>
      </c>
      <c r="X315">
        <v>0</v>
      </c>
      <c r="Y315">
        <f t="shared" si="21"/>
        <v>0</v>
      </c>
      <c r="Z315">
        <f t="shared" si="22"/>
        <v>39.916800000000002</v>
      </c>
      <c r="AA315">
        <f t="shared" si="23"/>
        <v>39.916800000000002</v>
      </c>
      <c r="AB315">
        <f t="shared" si="24"/>
        <v>787.95763199999999</v>
      </c>
    </row>
    <row r="316" spans="1:28" ht="25.5" x14ac:dyDescent="0.25">
      <c r="A316" s="7">
        <v>315</v>
      </c>
      <c r="B316" s="7" t="s">
        <v>15</v>
      </c>
      <c r="C316" s="7" t="s">
        <v>45</v>
      </c>
      <c r="D316" s="7" t="s">
        <v>412</v>
      </c>
      <c r="E316" s="7"/>
      <c r="F316" s="8"/>
      <c r="G316" s="7" t="s">
        <v>412</v>
      </c>
      <c r="H316" s="9">
        <v>36.607322000000003</v>
      </c>
      <c r="I316" s="9">
        <v>10.303027</v>
      </c>
      <c r="J316" s="7" t="s">
        <v>47</v>
      </c>
      <c r="K316" s="7" t="s">
        <v>37</v>
      </c>
      <c r="L316" s="7"/>
      <c r="M316" s="10">
        <v>10.66</v>
      </c>
      <c r="N316" s="7" t="s">
        <v>57</v>
      </c>
      <c r="O316" s="7"/>
      <c r="P316" s="8" t="s">
        <v>39</v>
      </c>
      <c r="Q316">
        <v>3.83</v>
      </c>
      <c r="R316">
        <v>17.399999999999999</v>
      </c>
      <c r="S316" t="s">
        <v>53</v>
      </c>
      <c r="T316">
        <v>8</v>
      </c>
      <c r="U316">
        <f t="shared" si="20"/>
        <v>30.64</v>
      </c>
      <c r="V316">
        <v>1.38</v>
      </c>
      <c r="W316">
        <v>50</v>
      </c>
      <c r="X316">
        <v>0.35</v>
      </c>
      <c r="Y316">
        <f t="shared" si="21"/>
        <v>17.5</v>
      </c>
      <c r="Z316">
        <f t="shared" si="22"/>
        <v>42.283200000000001</v>
      </c>
      <c r="AA316">
        <f t="shared" si="23"/>
        <v>24.783200000000001</v>
      </c>
      <c r="AB316">
        <f t="shared" si="24"/>
        <v>264.18891200000002</v>
      </c>
    </row>
    <row r="317" spans="1:28" ht="25.5" x14ac:dyDescent="0.25">
      <c r="A317" s="7">
        <v>316</v>
      </c>
      <c r="B317" s="7" t="s">
        <v>15</v>
      </c>
      <c r="C317" s="7" t="s">
        <v>49</v>
      </c>
      <c r="D317" s="7" t="s">
        <v>413</v>
      </c>
      <c r="E317" s="7"/>
      <c r="F317" s="8"/>
      <c r="G317" s="7" t="s">
        <v>413</v>
      </c>
      <c r="H317" s="9">
        <v>37.172162</v>
      </c>
      <c r="I317" s="9">
        <v>9.8002660000000006</v>
      </c>
      <c r="J317" s="7" t="s">
        <v>51</v>
      </c>
      <c r="K317" s="7" t="s">
        <v>37</v>
      </c>
      <c r="L317" s="7"/>
      <c r="M317" s="10">
        <v>21.24</v>
      </c>
      <c r="N317" s="7" t="s">
        <v>62</v>
      </c>
      <c r="O317" s="7"/>
      <c r="P317" s="8" t="s">
        <v>39</v>
      </c>
      <c r="Q317">
        <v>3.32</v>
      </c>
      <c r="R317">
        <v>26.1</v>
      </c>
      <c r="S317" t="s">
        <v>58</v>
      </c>
      <c r="T317">
        <v>7</v>
      </c>
      <c r="U317">
        <f t="shared" si="20"/>
        <v>23.24</v>
      </c>
      <c r="V317">
        <v>0.99</v>
      </c>
      <c r="W317">
        <v>80</v>
      </c>
      <c r="X317">
        <v>0.35</v>
      </c>
      <c r="Y317">
        <f t="shared" si="21"/>
        <v>28</v>
      </c>
      <c r="Z317">
        <f t="shared" si="22"/>
        <v>23.007599999999996</v>
      </c>
      <c r="AA317">
        <f t="shared" si="23"/>
        <v>0</v>
      </c>
      <c r="AB317">
        <f t="shared" si="24"/>
        <v>0</v>
      </c>
    </row>
    <row r="318" spans="1:28" ht="25.5" x14ac:dyDescent="0.25">
      <c r="A318" s="7">
        <v>317</v>
      </c>
      <c r="B318" s="7" t="s">
        <v>15</v>
      </c>
      <c r="C318" s="7" t="s">
        <v>54</v>
      </c>
      <c r="D318" s="7" t="s">
        <v>414</v>
      </c>
      <c r="E318" s="7"/>
      <c r="F318" s="8"/>
      <c r="G318" s="7" t="s">
        <v>414</v>
      </c>
      <c r="H318" s="9">
        <v>33.652149999999999</v>
      </c>
      <c r="I318" s="9">
        <v>10.306901999999999</v>
      </c>
      <c r="J318" s="7" t="s">
        <v>56</v>
      </c>
      <c r="K318" s="7" t="s">
        <v>37</v>
      </c>
      <c r="L318" s="7"/>
      <c r="M318" s="10">
        <v>13.04</v>
      </c>
      <c r="N318" s="7" t="s">
        <v>66</v>
      </c>
      <c r="O318" s="7"/>
      <c r="P318" s="8" t="s">
        <v>39</v>
      </c>
      <c r="Q318">
        <v>3.88</v>
      </c>
      <c r="R318">
        <v>32</v>
      </c>
      <c r="S318" t="s">
        <v>58</v>
      </c>
      <c r="T318">
        <v>10</v>
      </c>
      <c r="U318">
        <f t="shared" si="20"/>
        <v>38.799999999999997</v>
      </c>
      <c r="V318">
        <v>0.72</v>
      </c>
      <c r="W318">
        <v>50</v>
      </c>
      <c r="X318">
        <v>0.35</v>
      </c>
      <c r="Y318">
        <f t="shared" si="21"/>
        <v>17.5</v>
      </c>
      <c r="Z318">
        <f t="shared" si="22"/>
        <v>27.935999999999996</v>
      </c>
      <c r="AA318">
        <f t="shared" si="23"/>
        <v>10.435999999999996</v>
      </c>
      <c r="AB318">
        <f t="shared" si="24"/>
        <v>136.08543999999995</v>
      </c>
    </row>
    <row r="319" spans="1:28" ht="25.5" x14ac:dyDescent="0.25">
      <c r="A319" s="7">
        <v>318</v>
      </c>
      <c r="B319" s="7" t="s">
        <v>15</v>
      </c>
      <c r="C319" s="7" t="s">
        <v>59</v>
      </c>
      <c r="D319" s="7" t="s">
        <v>415</v>
      </c>
      <c r="E319" s="7"/>
      <c r="F319" s="8"/>
      <c r="G319" s="7" t="s">
        <v>415</v>
      </c>
      <c r="H319" s="9">
        <v>34.355074999999999</v>
      </c>
      <c r="I319" s="9">
        <v>8.4150869999999998</v>
      </c>
      <c r="J319" s="7" t="s">
        <v>61</v>
      </c>
      <c r="K319" s="7" t="s">
        <v>37</v>
      </c>
      <c r="L319" s="7"/>
      <c r="M319" s="10">
        <v>19.46</v>
      </c>
      <c r="N319" s="7" t="s">
        <v>70</v>
      </c>
      <c r="O319" s="7"/>
      <c r="P319" s="8" t="s">
        <v>39</v>
      </c>
      <c r="Q319">
        <v>5.43</v>
      </c>
      <c r="R319">
        <v>19.3</v>
      </c>
      <c r="S319" t="s">
        <v>53</v>
      </c>
      <c r="T319">
        <v>9</v>
      </c>
      <c r="U319">
        <f t="shared" si="20"/>
        <v>48.87</v>
      </c>
      <c r="V319">
        <v>1.03</v>
      </c>
      <c r="W319">
        <v>160</v>
      </c>
      <c r="X319">
        <v>0.35</v>
      </c>
      <c r="Y319">
        <f t="shared" si="21"/>
        <v>56</v>
      </c>
      <c r="Z319">
        <f t="shared" si="22"/>
        <v>50.336100000000002</v>
      </c>
      <c r="AA319">
        <f t="shared" si="23"/>
        <v>0</v>
      </c>
      <c r="AB319">
        <f t="shared" si="24"/>
        <v>0</v>
      </c>
    </row>
    <row r="320" spans="1:28" ht="25.5" x14ac:dyDescent="0.25">
      <c r="A320" s="7">
        <v>319</v>
      </c>
      <c r="B320" s="7" t="s">
        <v>15</v>
      </c>
      <c r="C320" s="7" t="s">
        <v>63</v>
      </c>
      <c r="D320" s="7" t="s">
        <v>416</v>
      </c>
      <c r="E320" s="7"/>
      <c r="F320" s="8"/>
      <c r="G320" s="7" t="s">
        <v>416</v>
      </c>
      <c r="H320" s="9">
        <v>36.965862000000001</v>
      </c>
      <c r="I320" s="9">
        <v>8.7575529999999997</v>
      </c>
      <c r="J320" s="7" t="s">
        <v>65</v>
      </c>
      <c r="K320" s="7" t="s">
        <v>37</v>
      </c>
      <c r="L320" s="7"/>
      <c r="M320" s="10">
        <v>5.36</v>
      </c>
      <c r="N320" s="7" t="s">
        <v>74</v>
      </c>
      <c r="O320" s="7"/>
      <c r="P320" s="8" t="s">
        <v>39</v>
      </c>
      <c r="Q320">
        <v>6.52</v>
      </c>
      <c r="R320">
        <v>16.899999999999999</v>
      </c>
      <c r="S320" t="s">
        <v>53</v>
      </c>
      <c r="T320">
        <v>10</v>
      </c>
      <c r="U320">
        <f t="shared" si="20"/>
        <v>65.199999999999989</v>
      </c>
      <c r="V320">
        <v>1.03</v>
      </c>
      <c r="W320">
        <v>80</v>
      </c>
      <c r="X320">
        <v>0.35</v>
      </c>
      <c r="Y320">
        <f t="shared" si="21"/>
        <v>28</v>
      </c>
      <c r="Z320">
        <f t="shared" si="22"/>
        <v>67.155999999999992</v>
      </c>
      <c r="AA320">
        <f t="shared" si="23"/>
        <v>39.155999999999992</v>
      </c>
      <c r="AB320">
        <f t="shared" si="24"/>
        <v>209.87615999999997</v>
      </c>
    </row>
    <row r="321" spans="1:28" ht="25.5" x14ac:dyDescent="0.25">
      <c r="A321" s="7">
        <v>320</v>
      </c>
      <c r="B321" s="7" t="s">
        <v>15</v>
      </c>
      <c r="C321" s="7" t="s">
        <v>67</v>
      </c>
      <c r="D321" s="7" t="s">
        <v>417</v>
      </c>
      <c r="E321" s="7"/>
      <c r="F321" s="8"/>
      <c r="G321" s="7" t="s">
        <v>417</v>
      </c>
      <c r="H321" s="9">
        <v>35.602747999999998</v>
      </c>
      <c r="I321" s="9">
        <v>9.9128690000000006</v>
      </c>
      <c r="J321" s="7" t="s">
        <v>69</v>
      </c>
      <c r="K321" s="7" t="s">
        <v>37</v>
      </c>
      <c r="L321" s="7"/>
      <c r="M321" s="10">
        <v>10.1</v>
      </c>
      <c r="N321" s="7" t="s">
        <v>78</v>
      </c>
      <c r="O321" s="7"/>
      <c r="P321" s="8" t="s">
        <v>39</v>
      </c>
      <c r="Q321">
        <v>5.17</v>
      </c>
      <c r="R321">
        <v>17.899999999999999</v>
      </c>
      <c r="S321" t="s">
        <v>53</v>
      </c>
      <c r="T321">
        <v>14</v>
      </c>
      <c r="U321">
        <f t="shared" si="20"/>
        <v>72.38</v>
      </c>
      <c r="V321">
        <v>1.1499999999999999</v>
      </c>
      <c r="W321">
        <v>50</v>
      </c>
      <c r="X321">
        <v>0.35</v>
      </c>
      <c r="Y321">
        <f t="shared" si="21"/>
        <v>17.5</v>
      </c>
      <c r="Z321">
        <f t="shared" si="22"/>
        <v>83.236999999999995</v>
      </c>
      <c r="AA321">
        <f t="shared" si="23"/>
        <v>65.736999999999995</v>
      </c>
      <c r="AB321">
        <f t="shared" si="24"/>
        <v>663.94369999999992</v>
      </c>
    </row>
    <row r="322" spans="1:28" ht="25.5" x14ac:dyDescent="0.25">
      <c r="A322" s="7">
        <v>321</v>
      </c>
      <c r="B322" s="7" t="s">
        <v>15</v>
      </c>
      <c r="C322" s="7" t="s">
        <v>71</v>
      </c>
      <c r="D322" s="7" t="s">
        <v>418</v>
      </c>
      <c r="E322" s="7"/>
      <c r="F322" s="8"/>
      <c r="G322" s="7" t="s">
        <v>418</v>
      </c>
      <c r="H322" s="9">
        <v>35.211604999999999</v>
      </c>
      <c r="I322" s="9">
        <v>9.0991619999999998</v>
      </c>
      <c r="J322" s="7" t="s">
        <v>73</v>
      </c>
      <c r="K322" s="7" t="s">
        <v>37</v>
      </c>
      <c r="L322" s="7"/>
      <c r="M322" s="10">
        <v>13.81</v>
      </c>
      <c r="N322" s="7" t="s">
        <v>38</v>
      </c>
      <c r="O322" s="7"/>
      <c r="P322" s="8" t="s">
        <v>39</v>
      </c>
      <c r="Q322">
        <v>2.58</v>
      </c>
      <c r="R322">
        <v>17.3</v>
      </c>
      <c r="S322" t="s">
        <v>53</v>
      </c>
      <c r="T322">
        <v>18</v>
      </c>
      <c r="U322">
        <f t="shared" ref="U322:U385" si="25">Q322*T322</f>
        <v>46.44</v>
      </c>
      <c r="V322">
        <v>1.1499999999999999</v>
      </c>
      <c r="W322">
        <v>0</v>
      </c>
      <c r="X322">
        <v>0</v>
      </c>
      <c r="Y322">
        <f t="shared" ref="Y322:Y385" si="26">W322*X322</f>
        <v>0</v>
      </c>
      <c r="Z322">
        <f t="shared" ref="Z322:Z385" si="27">U322*V322</f>
        <v>53.405999999999992</v>
      </c>
      <c r="AA322">
        <f t="shared" ref="AA322:AA385" si="28">MAX(0,Z322-Y322)</f>
        <v>53.405999999999992</v>
      </c>
      <c r="AB322">
        <f t="shared" si="24"/>
        <v>737.53685999999993</v>
      </c>
    </row>
    <row r="323" spans="1:28" ht="25.5" x14ac:dyDescent="0.25">
      <c r="A323" s="7">
        <v>322</v>
      </c>
      <c r="B323" s="7" t="s">
        <v>15</v>
      </c>
      <c r="C323" s="7" t="s">
        <v>75</v>
      </c>
      <c r="D323" s="7" t="s">
        <v>419</v>
      </c>
      <c r="E323" s="7"/>
      <c r="F323" s="8"/>
      <c r="G323" s="7" t="s">
        <v>419</v>
      </c>
      <c r="H323" s="9">
        <v>33.448087999999998</v>
      </c>
      <c r="I323" s="9">
        <v>8.9999500000000001</v>
      </c>
      <c r="J323" s="7" t="s">
        <v>77</v>
      </c>
      <c r="K323" s="7" t="s">
        <v>37</v>
      </c>
      <c r="L323" s="7"/>
      <c r="M323" s="10">
        <v>13.69</v>
      </c>
      <c r="N323" s="7" t="s">
        <v>44</v>
      </c>
      <c r="O323" s="7"/>
      <c r="P323" s="8" t="s">
        <v>39</v>
      </c>
      <c r="Q323">
        <v>6.76</v>
      </c>
      <c r="R323">
        <v>18.8</v>
      </c>
      <c r="S323" t="s">
        <v>53</v>
      </c>
      <c r="T323">
        <v>18</v>
      </c>
      <c r="U323">
        <f t="shared" si="25"/>
        <v>121.67999999999999</v>
      </c>
      <c r="V323">
        <v>1.1499999999999999</v>
      </c>
      <c r="W323">
        <v>0</v>
      </c>
      <c r="X323">
        <v>0</v>
      </c>
      <c r="Y323">
        <f t="shared" si="26"/>
        <v>0</v>
      </c>
      <c r="Z323">
        <f t="shared" si="27"/>
        <v>139.93199999999999</v>
      </c>
      <c r="AA323">
        <f t="shared" si="28"/>
        <v>139.93199999999999</v>
      </c>
      <c r="AB323">
        <f t="shared" ref="AB323:AB386" si="29">AA323*M323</f>
        <v>1915.6690799999997</v>
      </c>
    </row>
    <row r="324" spans="1:28" ht="25.5" x14ac:dyDescent="0.25">
      <c r="A324" s="7">
        <v>323</v>
      </c>
      <c r="B324" s="7" t="s">
        <v>15</v>
      </c>
      <c r="C324" s="7" t="s">
        <v>79</v>
      </c>
      <c r="D324" s="7" t="s">
        <v>420</v>
      </c>
      <c r="E324" s="7"/>
      <c r="F324" s="8"/>
      <c r="G324" s="7" t="s">
        <v>420</v>
      </c>
      <c r="H324" s="9">
        <v>35.931252999999998</v>
      </c>
      <c r="I324" s="9">
        <v>8.8344520000000006</v>
      </c>
      <c r="J324" s="7" t="s">
        <v>81</v>
      </c>
      <c r="K324" s="7" t="s">
        <v>37</v>
      </c>
      <c r="L324" s="7"/>
      <c r="M324" s="10">
        <v>11.1</v>
      </c>
      <c r="N324" s="7" t="s">
        <v>48</v>
      </c>
      <c r="O324" s="7"/>
      <c r="P324" s="8" t="s">
        <v>39</v>
      </c>
      <c r="Q324">
        <v>4.68</v>
      </c>
      <c r="R324">
        <v>43.9</v>
      </c>
      <c r="S324" t="s">
        <v>40</v>
      </c>
      <c r="T324">
        <v>16</v>
      </c>
      <c r="U324">
        <f t="shared" si="25"/>
        <v>74.88</v>
      </c>
      <c r="V324">
        <v>0.54</v>
      </c>
      <c r="W324">
        <v>160</v>
      </c>
      <c r="X324">
        <v>0.35</v>
      </c>
      <c r="Y324">
        <f t="shared" si="26"/>
        <v>56</v>
      </c>
      <c r="Z324">
        <f t="shared" si="27"/>
        <v>40.435200000000002</v>
      </c>
      <c r="AA324">
        <f t="shared" si="28"/>
        <v>0</v>
      </c>
      <c r="AB324">
        <f t="shared" si="29"/>
        <v>0</v>
      </c>
    </row>
    <row r="325" spans="1:28" ht="25.5" x14ac:dyDescent="0.25">
      <c r="A325" s="7">
        <v>324</v>
      </c>
      <c r="B325" s="7" t="s">
        <v>15</v>
      </c>
      <c r="C325" s="7" t="s">
        <v>82</v>
      </c>
      <c r="D325" s="7" t="s">
        <v>421</v>
      </c>
      <c r="E325" s="7"/>
      <c r="F325" s="8"/>
      <c r="G325" s="7" t="s">
        <v>421</v>
      </c>
      <c r="H325" s="9">
        <v>35.249806999999997</v>
      </c>
      <c r="I325" s="9">
        <v>11.092411999999999</v>
      </c>
      <c r="J325" s="7" t="s">
        <v>84</v>
      </c>
      <c r="K325" s="7" t="s">
        <v>37</v>
      </c>
      <c r="L325" s="7"/>
      <c r="M325" s="10">
        <v>9.2899999999999991</v>
      </c>
      <c r="N325" s="7" t="s">
        <v>52</v>
      </c>
      <c r="O325" s="7"/>
      <c r="P325" s="8" t="s">
        <v>39</v>
      </c>
      <c r="Q325">
        <v>2.06</v>
      </c>
      <c r="R325">
        <v>27.5</v>
      </c>
      <c r="S325" t="s">
        <v>58</v>
      </c>
      <c r="T325">
        <v>12</v>
      </c>
      <c r="U325">
        <f t="shared" si="25"/>
        <v>24.72</v>
      </c>
      <c r="V325">
        <v>0.99</v>
      </c>
      <c r="W325">
        <v>0</v>
      </c>
      <c r="X325">
        <v>0</v>
      </c>
      <c r="Y325">
        <f t="shared" si="26"/>
        <v>0</v>
      </c>
      <c r="Z325">
        <f t="shared" si="27"/>
        <v>24.472799999999999</v>
      </c>
      <c r="AA325">
        <f t="shared" si="28"/>
        <v>24.472799999999999</v>
      </c>
      <c r="AB325">
        <f t="shared" si="29"/>
        <v>227.35231199999998</v>
      </c>
    </row>
    <row r="326" spans="1:28" ht="25.5" x14ac:dyDescent="0.25">
      <c r="A326" s="7">
        <v>325</v>
      </c>
      <c r="B326" s="7" t="s">
        <v>15</v>
      </c>
      <c r="C326" s="7" t="s">
        <v>85</v>
      </c>
      <c r="D326" s="7" t="s">
        <v>422</v>
      </c>
      <c r="E326" s="7"/>
      <c r="F326" s="8"/>
      <c r="G326" s="7" t="s">
        <v>422</v>
      </c>
      <c r="H326" s="9">
        <v>36.815108000000002</v>
      </c>
      <c r="I326" s="9">
        <v>9.8432399999999998</v>
      </c>
      <c r="J326" s="7" t="s">
        <v>87</v>
      </c>
      <c r="K326" s="7" t="s">
        <v>37</v>
      </c>
      <c r="L326" s="7"/>
      <c r="M326" s="10">
        <v>19.25</v>
      </c>
      <c r="N326" s="7" t="s">
        <v>57</v>
      </c>
      <c r="O326" s="7"/>
      <c r="P326" s="8" t="s">
        <v>39</v>
      </c>
      <c r="Q326">
        <v>6.8</v>
      </c>
      <c r="R326">
        <v>38.5</v>
      </c>
      <c r="S326" t="s">
        <v>40</v>
      </c>
      <c r="T326">
        <v>8</v>
      </c>
      <c r="U326">
        <f t="shared" si="25"/>
        <v>54.4</v>
      </c>
      <c r="V326">
        <v>0.72</v>
      </c>
      <c r="W326">
        <v>120</v>
      </c>
      <c r="X326">
        <v>0.35</v>
      </c>
      <c r="Y326">
        <f t="shared" si="26"/>
        <v>42</v>
      </c>
      <c r="Z326">
        <f t="shared" si="27"/>
        <v>39.167999999999999</v>
      </c>
      <c r="AA326">
        <f t="shared" si="28"/>
        <v>0</v>
      </c>
      <c r="AB326">
        <f t="shared" si="29"/>
        <v>0</v>
      </c>
    </row>
    <row r="327" spans="1:28" ht="25.5" x14ac:dyDescent="0.25">
      <c r="A327" s="7">
        <v>326</v>
      </c>
      <c r="B327" s="7" t="s">
        <v>15</v>
      </c>
      <c r="C327" s="7" t="s">
        <v>88</v>
      </c>
      <c r="D327" s="7" t="s">
        <v>423</v>
      </c>
      <c r="E327" s="7"/>
      <c r="F327" s="8"/>
      <c r="G327" s="7" t="s">
        <v>423</v>
      </c>
      <c r="H327" s="9">
        <v>33.793078000000001</v>
      </c>
      <c r="I327" s="9">
        <v>10.98813</v>
      </c>
      <c r="J327" s="7" t="s">
        <v>90</v>
      </c>
      <c r="K327" s="7" t="s">
        <v>37</v>
      </c>
      <c r="L327" s="7"/>
      <c r="M327" s="10">
        <v>4.92</v>
      </c>
      <c r="N327" s="7" t="s">
        <v>62</v>
      </c>
      <c r="O327" s="7"/>
      <c r="P327" s="8" t="s">
        <v>39</v>
      </c>
      <c r="Q327">
        <v>4</v>
      </c>
      <c r="R327">
        <v>20.3</v>
      </c>
      <c r="S327" t="s">
        <v>53</v>
      </c>
      <c r="T327">
        <v>7</v>
      </c>
      <c r="U327">
        <f t="shared" si="25"/>
        <v>28</v>
      </c>
      <c r="V327">
        <v>1.26</v>
      </c>
      <c r="W327">
        <v>120</v>
      </c>
      <c r="X327">
        <v>0.35</v>
      </c>
      <c r="Y327">
        <f t="shared" si="26"/>
        <v>42</v>
      </c>
      <c r="Z327">
        <f t="shared" si="27"/>
        <v>35.28</v>
      </c>
      <c r="AA327">
        <f t="shared" si="28"/>
        <v>0</v>
      </c>
      <c r="AB327">
        <f t="shared" si="29"/>
        <v>0</v>
      </c>
    </row>
    <row r="328" spans="1:28" ht="25.5" x14ac:dyDescent="0.25">
      <c r="A328" s="7">
        <v>327</v>
      </c>
      <c r="B328" s="7" t="s">
        <v>15</v>
      </c>
      <c r="C328" s="7" t="s">
        <v>92</v>
      </c>
      <c r="D328" s="7" t="s">
        <v>424</v>
      </c>
      <c r="E328" s="7"/>
      <c r="F328" s="8"/>
      <c r="G328" s="7" t="s">
        <v>424</v>
      </c>
      <c r="H328" s="9">
        <v>35.601081000000001</v>
      </c>
      <c r="I328" s="9">
        <v>10.735758000000001</v>
      </c>
      <c r="J328" s="7" t="s">
        <v>94</v>
      </c>
      <c r="K328" s="7" t="s">
        <v>37</v>
      </c>
      <c r="L328" s="7"/>
      <c r="M328" s="10">
        <v>24.34</v>
      </c>
      <c r="N328" s="7" t="s">
        <v>66</v>
      </c>
      <c r="O328" s="7"/>
      <c r="P328" s="8" t="s">
        <v>39</v>
      </c>
      <c r="Q328">
        <v>7.85</v>
      </c>
      <c r="R328">
        <v>39.299999999999997</v>
      </c>
      <c r="S328" t="s">
        <v>40</v>
      </c>
      <c r="T328">
        <v>10</v>
      </c>
      <c r="U328">
        <f t="shared" si="25"/>
        <v>78.5</v>
      </c>
      <c r="V328">
        <v>0.48</v>
      </c>
      <c r="W328">
        <v>0</v>
      </c>
      <c r="X328">
        <v>0</v>
      </c>
      <c r="Y328">
        <f t="shared" si="26"/>
        <v>0</v>
      </c>
      <c r="Z328">
        <f t="shared" si="27"/>
        <v>37.68</v>
      </c>
      <c r="AA328">
        <f t="shared" si="28"/>
        <v>37.68</v>
      </c>
      <c r="AB328">
        <f t="shared" si="29"/>
        <v>917.13120000000004</v>
      </c>
    </row>
    <row r="329" spans="1:28" ht="25.5" x14ac:dyDescent="0.25">
      <c r="A329" s="7">
        <v>328</v>
      </c>
      <c r="B329" s="7" t="s">
        <v>15</v>
      </c>
      <c r="C329" s="7" t="s">
        <v>95</v>
      </c>
      <c r="D329" s="7" t="s">
        <v>425</v>
      </c>
      <c r="E329" s="7"/>
      <c r="F329" s="8"/>
      <c r="G329" s="7" t="s">
        <v>425</v>
      </c>
      <c r="H329" s="9">
        <v>36.577917999999997</v>
      </c>
      <c r="I329" s="9">
        <v>10.860201</v>
      </c>
      <c r="J329" s="7" t="s">
        <v>97</v>
      </c>
      <c r="K329" s="7" t="s">
        <v>37</v>
      </c>
      <c r="L329" s="7"/>
      <c r="M329" s="10">
        <v>13.25</v>
      </c>
      <c r="N329" s="7" t="s">
        <v>70</v>
      </c>
      <c r="O329" s="7"/>
      <c r="P329" s="8" t="s">
        <v>39</v>
      </c>
      <c r="Q329">
        <v>5.23</v>
      </c>
      <c r="R329">
        <v>22.9</v>
      </c>
      <c r="S329" t="s">
        <v>53</v>
      </c>
      <c r="T329">
        <v>9</v>
      </c>
      <c r="U329">
        <f t="shared" si="25"/>
        <v>47.070000000000007</v>
      </c>
      <c r="V329">
        <v>1.03</v>
      </c>
      <c r="W329">
        <v>160</v>
      </c>
      <c r="X329">
        <v>0.35</v>
      </c>
      <c r="Y329">
        <f t="shared" si="26"/>
        <v>56</v>
      </c>
      <c r="Z329">
        <f t="shared" si="27"/>
        <v>48.48210000000001</v>
      </c>
      <c r="AA329">
        <f t="shared" si="28"/>
        <v>0</v>
      </c>
      <c r="AB329">
        <f t="shared" si="29"/>
        <v>0</v>
      </c>
    </row>
    <row r="330" spans="1:28" ht="25.5" x14ac:dyDescent="0.25">
      <c r="A330" s="7">
        <v>329</v>
      </c>
      <c r="B330" s="7" t="s">
        <v>15</v>
      </c>
      <c r="C330" s="7" t="s">
        <v>98</v>
      </c>
      <c r="D330" s="7" t="s">
        <v>426</v>
      </c>
      <c r="E330" s="7"/>
      <c r="F330" s="8"/>
      <c r="G330" s="7" t="s">
        <v>426</v>
      </c>
      <c r="H330" s="9">
        <v>34.773045000000003</v>
      </c>
      <c r="I330" s="9">
        <v>10.483847000000001</v>
      </c>
      <c r="J330" s="7" t="s">
        <v>100</v>
      </c>
      <c r="K330" s="7" t="s">
        <v>37</v>
      </c>
      <c r="L330" s="7"/>
      <c r="M330" s="10">
        <v>12.47</v>
      </c>
      <c r="N330" s="7" t="s">
        <v>74</v>
      </c>
      <c r="O330" s="7"/>
      <c r="P330" s="8" t="s">
        <v>39</v>
      </c>
      <c r="Q330">
        <v>6.71</v>
      </c>
      <c r="R330">
        <v>21.2</v>
      </c>
      <c r="S330" t="s">
        <v>53</v>
      </c>
      <c r="T330">
        <v>10</v>
      </c>
      <c r="U330">
        <f t="shared" si="25"/>
        <v>67.099999999999994</v>
      </c>
      <c r="V330">
        <v>1.03</v>
      </c>
      <c r="W330">
        <v>0</v>
      </c>
      <c r="X330">
        <v>0</v>
      </c>
      <c r="Y330">
        <f t="shared" si="26"/>
        <v>0</v>
      </c>
      <c r="Z330">
        <f t="shared" si="27"/>
        <v>69.113</v>
      </c>
      <c r="AA330">
        <f t="shared" si="28"/>
        <v>69.113</v>
      </c>
      <c r="AB330">
        <f t="shared" si="29"/>
        <v>861.83911000000001</v>
      </c>
    </row>
    <row r="331" spans="1:28" ht="25.5" x14ac:dyDescent="0.25">
      <c r="A331" s="7">
        <v>330</v>
      </c>
      <c r="B331" s="7" t="s">
        <v>15</v>
      </c>
      <c r="C331" s="7" t="s">
        <v>101</v>
      </c>
      <c r="D331" s="7" t="s">
        <v>427</v>
      </c>
      <c r="E331" s="7"/>
      <c r="F331" s="8"/>
      <c r="G331" s="7" t="s">
        <v>427</v>
      </c>
      <c r="H331" s="9">
        <v>34.913507000000003</v>
      </c>
      <c r="I331" s="9">
        <v>9.8039120000000004</v>
      </c>
      <c r="J331" s="7" t="s">
        <v>103</v>
      </c>
      <c r="K331" s="7" t="s">
        <v>37</v>
      </c>
      <c r="L331" s="7"/>
      <c r="M331" s="10">
        <v>13.3</v>
      </c>
      <c r="N331" s="7" t="s">
        <v>78</v>
      </c>
      <c r="O331" s="7"/>
      <c r="P331" s="8" t="s">
        <v>39</v>
      </c>
      <c r="Q331">
        <v>5.22</v>
      </c>
      <c r="R331">
        <v>40.5</v>
      </c>
      <c r="S331" t="s">
        <v>40</v>
      </c>
      <c r="T331">
        <v>14</v>
      </c>
      <c r="U331">
        <f t="shared" si="25"/>
        <v>73.08</v>
      </c>
      <c r="V331">
        <v>0.6</v>
      </c>
      <c r="W331">
        <v>50</v>
      </c>
      <c r="X331">
        <v>0.35</v>
      </c>
      <c r="Y331">
        <f t="shared" si="26"/>
        <v>17.5</v>
      </c>
      <c r="Z331">
        <f t="shared" si="27"/>
        <v>43.847999999999999</v>
      </c>
      <c r="AA331">
        <f t="shared" si="28"/>
        <v>26.347999999999999</v>
      </c>
      <c r="AB331">
        <f t="shared" si="29"/>
        <v>350.42840000000001</v>
      </c>
    </row>
    <row r="332" spans="1:28" ht="25.5" x14ac:dyDescent="0.25">
      <c r="A332" s="7">
        <v>331</v>
      </c>
      <c r="B332" s="7" t="s">
        <v>15</v>
      </c>
      <c r="C332" s="7" t="s">
        <v>104</v>
      </c>
      <c r="D332" s="7" t="s">
        <v>428</v>
      </c>
      <c r="E332" s="7"/>
      <c r="F332" s="8"/>
      <c r="G332" s="7" t="s">
        <v>428</v>
      </c>
      <c r="H332" s="9">
        <v>35.862518000000001</v>
      </c>
      <c r="I332" s="9">
        <v>9.1959710000000001</v>
      </c>
      <c r="J332" s="7" t="s">
        <v>106</v>
      </c>
      <c r="K332" s="7" t="s">
        <v>37</v>
      </c>
      <c r="L332" s="7"/>
      <c r="M332" s="10">
        <v>7.95</v>
      </c>
      <c r="N332" s="7" t="s">
        <v>38</v>
      </c>
      <c r="O332" s="7"/>
      <c r="P332" s="8" t="s">
        <v>39</v>
      </c>
      <c r="Q332">
        <v>7.38</v>
      </c>
      <c r="R332">
        <v>16.600000000000001</v>
      </c>
      <c r="S332" t="s">
        <v>53</v>
      </c>
      <c r="T332">
        <v>18</v>
      </c>
      <c r="U332">
        <f t="shared" si="25"/>
        <v>132.84</v>
      </c>
      <c r="V332">
        <v>1.1499999999999999</v>
      </c>
      <c r="W332">
        <v>0</v>
      </c>
      <c r="X332">
        <v>0</v>
      </c>
      <c r="Y332">
        <f t="shared" si="26"/>
        <v>0</v>
      </c>
      <c r="Z332">
        <f t="shared" si="27"/>
        <v>152.76599999999999</v>
      </c>
      <c r="AA332">
        <f t="shared" si="28"/>
        <v>152.76599999999999</v>
      </c>
      <c r="AB332">
        <f t="shared" si="29"/>
        <v>1214.4896999999999</v>
      </c>
    </row>
    <row r="333" spans="1:28" ht="25.5" x14ac:dyDescent="0.25">
      <c r="A333" s="7">
        <v>332</v>
      </c>
      <c r="B333" s="7" t="s">
        <v>15</v>
      </c>
      <c r="C333" s="7" t="s">
        <v>107</v>
      </c>
      <c r="D333" s="7" t="s">
        <v>429</v>
      </c>
      <c r="E333" s="7"/>
      <c r="F333" s="8"/>
      <c r="G333" s="7" t="s">
        <v>429</v>
      </c>
      <c r="H333" s="9">
        <v>36.115867999999999</v>
      </c>
      <c r="I333" s="9">
        <v>10.383993</v>
      </c>
      <c r="J333" s="7" t="s">
        <v>109</v>
      </c>
      <c r="K333" s="7" t="s">
        <v>37</v>
      </c>
      <c r="L333" s="7"/>
      <c r="M333" s="10">
        <v>2.7</v>
      </c>
      <c r="N333" s="7" t="s">
        <v>44</v>
      </c>
      <c r="O333" s="7"/>
      <c r="P333" s="8" t="s">
        <v>39</v>
      </c>
      <c r="Q333">
        <v>6.28</v>
      </c>
      <c r="R333">
        <v>38.799999999999997</v>
      </c>
      <c r="S333" t="s">
        <v>40</v>
      </c>
      <c r="T333">
        <v>18</v>
      </c>
      <c r="U333">
        <f t="shared" si="25"/>
        <v>113.04</v>
      </c>
      <c r="V333">
        <v>0.6</v>
      </c>
      <c r="W333">
        <v>50</v>
      </c>
      <c r="X333">
        <v>0.35</v>
      </c>
      <c r="Y333">
        <f t="shared" si="26"/>
        <v>17.5</v>
      </c>
      <c r="Z333">
        <f t="shared" si="27"/>
        <v>67.823999999999998</v>
      </c>
      <c r="AA333">
        <f t="shared" si="28"/>
        <v>50.323999999999998</v>
      </c>
      <c r="AB333">
        <f t="shared" si="29"/>
        <v>135.87479999999999</v>
      </c>
    </row>
    <row r="334" spans="1:28" ht="25.5" x14ac:dyDescent="0.25">
      <c r="A334" s="7">
        <v>333</v>
      </c>
      <c r="B334" s="7" t="s">
        <v>15</v>
      </c>
      <c r="C334" s="7" t="s">
        <v>110</v>
      </c>
      <c r="D334" s="7" t="s">
        <v>430</v>
      </c>
      <c r="E334" s="7"/>
      <c r="F334" s="8"/>
      <c r="G334" s="7" t="s">
        <v>430</v>
      </c>
      <c r="H334" s="9">
        <v>33.158233000000003</v>
      </c>
      <c r="I334" s="9">
        <v>10.246416</v>
      </c>
      <c r="J334" s="7" t="s">
        <v>112</v>
      </c>
      <c r="K334" s="7" t="s">
        <v>37</v>
      </c>
      <c r="L334" s="7"/>
      <c r="M334" s="10">
        <v>14.36</v>
      </c>
      <c r="N334" s="7" t="s">
        <v>48</v>
      </c>
      <c r="O334" s="7"/>
      <c r="P334" s="8" t="s">
        <v>39</v>
      </c>
      <c r="Q334">
        <v>2.31</v>
      </c>
      <c r="R334">
        <v>15.5</v>
      </c>
      <c r="S334" t="s">
        <v>53</v>
      </c>
      <c r="T334">
        <v>16</v>
      </c>
      <c r="U334">
        <f t="shared" si="25"/>
        <v>36.96</v>
      </c>
      <c r="V334">
        <v>1.03</v>
      </c>
      <c r="W334">
        <v>80</v>
      </c>
      <c r="X334">
        <v>0.35</v>
      </c>
      <c r="Y334">
        <f t="shared" si="26"/>
        <v>28</v>
      </c>
      <c r="Z334">
        <f t="shared" si="27"/>
        <v>38.068800000000003</v>
      </c>
      <c r="AA334">
        <f t="shared" si="28"/>
        <v>10.068800000000003</v>
      </c>
      <c r="AB334">
        <f t="shared" si="29"/>
        <v>144.58796800000005</v>
      </c>
    </row>
    <row r="335" spans="1:28" ht="25.5" x14ac:dyDescent="0.25">
      <c r="A335" s="7">
        <v>334</v>
      </c>
      <c r="B335" s="7" t="s">
        <v>15</v>
      </c>
      <c r="C335" s="7" t="s">
        <v>113</v>
      </c>
      <c r="D335" s="7" t="s">
        <v>431</v>
      </c>
      <c r="E335" s="7"/>
      <c r="F335" s="8"/>
      <c r="G335" s="7" t="s">
        <v>431</v>
      </c>
      <c r="H335" s="9">
        <v>33.864348</v>
      </c>
      <c r="I335" s="9">
        <v>7.8675319999999997</v>
      </c>
      <c r="J335" s="7" t="s">
        <v>115</v>
      </c>
      <c r="K335" s="7" t="s">
        <v>37</v>
      </c>
      <c r="L335" s="7"/>
      <c r="M335" s="10">
        <v>16.88</v>
      </c>
      <c r="N335" s="7" t="s">
        <v>52</v>
      </c>
      <c r="O335" s="7"/>
      <c r="P335" s="8" t="s">
        <v>39</v>
      </c>
      <c r="Q335">
        <v>2.5099999999999998</v>
      </c>
      <c r="R335">
        <v>39.5</v>
      </c>
      <c r="S335" t="s">
        <v>40</v>
      </c>
      <c r="T335">
        <v>12</v>
      </c>
      <c r="U335">
        <f t="shared" si="25"/>
        <v>30.119999999999997</v>
      </c>
      <c r="V335">
        <v>0.66</v>
      </c>
      <c r="W335">
        <v>160</v>
      </c>
      <c r="X335">
        <v>0.35</v>
      </c>
      <c r="Y335">
        <f t="shared" si="26"/>
        <v>56</v>
      </c>
      <c r="Z335">
        <f t="shared" si="27"/>
        <v>19.879200000000001</v>
      </c>
      <c r="AA335">
        <f t="shared" si="28"/>
        <v>0</v>
      </c>
      <c r="AB335">
        <f t="shared" si="29"/>
        <v>0</v>
      </c>
    </row>
    <row r="336" spans="1:28" ht="25.5" x14ac:dyDescent="0.25">
      <c r="A336" s="7">
        <v>335</v>
      </c>
      <c r="B336" s="7" t="s">
        <v>15</v>
      </c>
      <c r="C336" s="7" t="s">
        <v>116</v>
      </c>
      <c r="D336" s="7" t="s">
        <v>432</v>
      </c>
      <c r="E336" s="7"/>
      <c r="F336" s="8"/>
      <c r="G336" s="7" t="s">
        <v>432</v>
      </c>
      <c r="H336" s="9">
        <v>36.867843999999998</v>
      </c>
      <c r="I336" s="9">
        <v>10.320821</v>
      </c>
      <c r="J336" s="7" t="s">
        <v>118</v>
      </c>
      <c r="K336" s="7" t="s">
        <v>37</v>
      </c>
      <c r="L336" s="7"/>
      <c r="M336" s="10">
        <v>6.51</v>
      </c>
      <c r="N336" s="7" t="s">
        <v>57</v>
      </c>
      <c r="O336" s="7"/>
      <c r="P336" s="8" t="s">
        <v>39</v>
      </c>
      <c r="Q336">
        <v>6.52</v>
      </c>
      <c r="R336">
        <v>24.5</v>
      </c>
      <c r="S336" t="s">
        <v>53</v>
      </c>
      <c r="T336">
        <v>8</v>
      </c>
      <c r="U336">
        <f t="shared" si="25"/>
        <v>52.16</v>
      </c>
      <c r="V336">
        <v>1.38</v>
      </c>
      <c r="W336">
        <v>160</v>
      </c>
      <c r="X336">
        <v>0.35</v>
      </c>
      <c r="Y336">
        <f t="shared" si="26"/>
        <v>56</v>
      </c>
      <c r="Z336">
        <f t="shared" si="27"/>
        <v>71.980799999999988</v>
      </c>
      <c r="AA336">
        <f t="shared" si="28"/>
        <v>15.980799999999988</v>
      </c>
      <c r="AB336">
        <f t="shared" si="29"/>
        <v>104.03500799999992</v>
      </c>
    </row>
    <row r="337" spans="1:28" ht="25.5" x14ac:dyDescent="0.25">
      <c r="A337" s="7">
        <v>336</v>
      </c>
      <c r="B337" s="7" t="s">
        <v>15</v>
      </c>
      <c r="C337" s="7" t="s">
        <v>119</v>
      </c>
      <c r="D337" s="7" t="s">
        <v>433</v>
      </c>
      <c r="E337" s="7"/>
      <c r="F337" s="8"/>
      <c r="G337" s="7" t="s">
        <v>433</v>
      </c>
      <c r="H337" s="9">
        <v>36.388354</v>
      </c>
      <c r="I337" s="9">
        <v>9.6087340000000001</v>
      </c>
      <c r="J337" s="7" t="s">
        <v>121</v>
      </c>
      <c r="K337" s="7" t="s">
        <v>37</v>
      </c>
      <c r="L337" s="7"/>
      <c r="M337" s="10">
        <v>8.66</v>
      </c>
      <c r="N337" s="7" t="s">
        <v>62</v>
      </c>
      <c r="O337" s="7"/>
      <c r="P337" s="8" t="s">
        <v>39</v>
      </c>
      <c r="Q337">
        <v>5.71</v>
      </c>
      <c r="R337">
        <v>21.5</v>
      </c>
      <c r="S337" t="s">
        <v>53</v>
      </c>
      <c r="T337">
        <v>7</v>
      </c>
      <c r="U337">
        <f t="shared" si="25"/>
        <v>39.97</v>
      </c>
      <c r="V337">
        <v>1.26</v>
      </c>
      <c r="W337">
        <v>0</v>
      </c>
      <c r="X337">
        <v>0</v>
      </c>
      <c r="Y337">
        <f t="shared" si="26"/>
        <v>0</v>
      </c>
      <c r="Z337">
        <f t="shared" si="27"/>
        <v>50.362200000000001</v>
      </c>
      <c r="AA337">
        <f t="shared" si="28"/>
        <v>50.362200000000001</v>
      </c>
      <c r="AB337">
        <f t="shared" si="29"/>
        <v>436.13665200000003</v>
      </c>
    </row>
    <row r="338" spans="1:28" ht="25.5" x14ac:dyDescent="0.25">
      <c r="A338" s="7">
        <v>337</v>
      </c>
      <c r="B338" s="7" t="s">
        <v>15</v>
      </c>
      <c r="C338" s="7" t="s">
        <v>34</v>
      </c>
      <c r="D338" s="7" t="s">
        <v>434</v>
      </c>
      <c r="E338" s="7"/>
      <c r="F338" s="8"/>
      <c r="G338" s="7" t="s">
        <v>434</v>
      </c>
      <c r="H338" s="9">
        <v>36.900889999999997</v>
      </c>
      <c r="I338" s="9">
        <v>10.202076</v>
      </c>
      <c r="J338" s="7" t="s">
        <v>36</v>
      </c>
      <c r="K338" s="7" t="s">
        <v>37</v>
      </c>
      <c r="L338" s="7"/>
      <c r="M338" s="10">
        <v>7.75</v>
      </c>
      <c r="N338" s="7" t="s">
        <v>66</v>
      </c>
      <c r="O338" s="7"/>
      <c r="P338" s="8" t="s">
        <v>39</v>
      </c>
      <c r="Q338">
        <v>5.37</v>
      </c>
      <c r="R338">
        <v>28</v>
      </c>
      <c r="S338" t="s">
        <v>58</v>
      </c>
      <c r="T338">
        <v>10</v>
      </c>
      <c r="U338">
        <f t="shared" si="25"/>
        <v>53.7</v>
      </c>
      <c r="V338">
        <v>0.72</v>
      </c>
      <c r="W338">
        <v>160</v>
      </c>
      <c r="X338">
        <v>0.35</v>
      </c>
      <c r="Y338">
        <f t="shared" si="26"/>
        <v>56</v>
      </c>
      <c r="Z338">
        <f t="shared" si="27"/>
        <v>38.664000000000001</v>
      </c>
      <c r="AA338">
        <f t="shared" si="28"/>
        <v>0</v>
      </c>
      <c r="AB338">
        <f t="shared" si="29"/>
        <v>0</v>
      </c>
    </row>
    <row r="339" spans="1:28" ht="25.5" x14ac:dyDescent="0.25">
      <c r="A339" s="7">
        <v>338</v>
      </c>
      <c r="B339" s="7" t="s">
        <v>15</v>
      </c>
      <c r="C339" s="7" t="s">
        <v>41</v>
      </c>
      <c r="D339" s="7" t="s">
        <v>435</v>
      </c>
      <c r="E339" s="7"/>
      <c r="F339" s="8"/>
      <c r="G339" s="7" t="s">
        <v>435</v>
      </c>
      <c r="H339" s="9">
        <v>36.643203</v>
      </c>
      <c r="I339" s="9">
        <v>9.6158029999999997</v>
      </c>
      <c r="J339" s="7" t="s">
        <v>43</v>
      </c>
      <c r="K339" s="7" t="s">
        <v>37</v>
      </c>
      <c r="L339" s="7"/>
      <c r="M339" s="10">
        <v>12.58</v>
      </c>
      <c r="N339" s="7" t="s">
        <v>70</v>
      </c>
      <c r="O339" s="7"/>
      <c r="P339" s="8" t="s">
        <v>39</v>
      </c>
      <c r="Q339">
        <v>5.13</v>
      </c>
      <c r="R339">
        <v>43.4</v>
      </c>
      <c r="S339" t="s">
        <v>40</v>
      </c>
      <c r="T339">
        <v>9</v>
      </c>
      <c r="U339">
        <f t="shared" si="25"/>
        <v>46.17</v>
      </c>
      <c r="V339">
        <v>0.54</v>
      </c>
      <c r="W339">
        <v>0</v>
      </c>
      <c r="X339">
        <v>0</v>
      </c>
      <c r="Y339">
        <f t="shared" si="26"/>
        <v>0</v>
      </c>
      <c r="Z339">
        <f t="shared" si="27"/>
        <v>24.931800000000003</v>
      </c>
      <c r="AA339">
        <f t="shared" si="28"/>
        <v>24.931800000000003</v>
      </c>
      <c r="AB339">
        <f t="shared" si="29"/>
        <v>313.64204400000006</v>
      </c>
    </row>
    <row r="340" spans="1:28" ht="25.5" x14ac:dyDescent="0.25">
      <c r="A340" s="7">
        <v>339</v>
      </c>
      <c r="B340" s="7" t="s">
        <v>15</v>
      </c>
      <c r="C340" s="7" t="s">
        <v>45</v>
      </c>
      <c r="D340" s="7" t="s">
        <v>436</v>
      </c>
      <c r="E340" s="7"/>
      <c r="F340" s="8"/>
      <c r="G340" s="7" t="s">
        <v>436</v>
      </c>
      <c r="H340" s="9">
        <v>36.627761</v>
      </c>
      <c r="I340" s="9">
        <v>10.306683</v>
      </c>
      <c r="J340" s="7" t="s">
        <v>47</v>
      </c>
      <c r="K340" s="7" t="s">
        <v>37</v>
      </c>
      <c r="L340" s="7"/>
      <c r="M340" s="10">
        <v>2.02</v>
      </c>
      <c r="N340" s="7" t="s">
        <v>74</v>
      </c>
      <c r="O340" s="7"/>
      <c r="P340" s="8" t="s">
        <v>39</v>
      </c>
      <c r="Q340">
        <v>6.62</v>
      </c>
      <c r="R340">
        <v>20.100000000000001</v>
      </c>
      <c r="S340" t="s">
        <v>53</v>
      </c>
      <c r="T340">
        <v>10</v>
      </c>
      <c r="U340">
        <f t="shared" si="25"/>
        <v>66.2</v>
      </c>
      <c r="V340">
        <v>1.03</v>
      </c>
      <c r="W340">
        <v>0</v>
      </c>
      <c r="X340">
        <v>0</v>
      </c>
      <c r="Y340">
        <f t="shared" si="26"/>
        <v>0</v>
      </c>
      <c r="Z340">
        <f t="shared" si="27"/>
        <v>68.186000000000007</v>
      </c>
      <c r="AA340">
        <f t="shared" si="28"/>
        <v>68.186000000000007</v>
      </c>
      <c r="AB340">
        <f t="shared" si="29"/>
        <v>137.73572000000001</v>
      </c>
    </row>
    <row r="341" spans="1:28" ht="25.5" x14ac:dyDescent="0.25">
      <c r="A341" s="7">
        <v>340</v>
      </c>
      <c r="B341" s="7" t="s">
        <v>15</v>
      </c>
      <c r="C341" s="7" t="s">
        <v>49</v>
      </c>
      <c r="D341" s="7" t="s">
        <v>437</v>
      </c>
      <c r="E341" s="7"/>
      <c r="F341" s="8"/>
      <c r="G341" s="7" t="s">
        <v>437</v>
      </c>
      <c r="H341" s="9">
        <v>37.166412000000001</v>
      </c>
      <c r="I341" s="9">
        <v>9.8101970000000005</v>
      </c>
      <c r="J341" s="7" t="s">
        <v>51</v>
      </c>
      <c r="K341" s="7" t="s">
        <v>37</v>
      </c>
      <c r="L341" s="7"/>
      <c r="M341" s="10">
        <v>9.27</v>
      </c>
      <c r="N341" s="7" t="s">
        <v>78</v>
      </c>
      <c r="O341" s="7"/>
      <c r="P341" s="8" t="s">
        <v>39</v>
      </c>
      <c r="Q341">
        <v>5.41</v>
      </c>
      <c r="R341">
        <v>37.799999999999997</v>
      </c>
      <c r="S341" t="s">
        <v>40</v>
      </c>
      <c r="T341">
        <v>14</v>
      </c>
      <c r="U341">
        <f t="shared" si="25"/>
        <v>75.740000000000009</v>
      </c>
      <c r="V341">
        <v>0.6</v>
      </c>
      <c r="W341">
        <v>50</v>
      </c>
      <c r="X341">
        <v>0.35</v>
      </c>
      <c r="Y341">
        <f t="shared" si="26"/>
        <v>17.5</v>
      </c>
      <c r="Z341">
        <f t="shared" si="27"/>
        <v>45.444000000000003</v>
      </c>
      <c r="AA341">
        <f t="shared" si="28"/>
        <v>27.944000000000003</v>
      </c>
      <c r="AB341">
        <f t="shared" si="29"/>
        <v>259.04088000000002</v>
      </c>
    </row>
    <row r="342" spans="1:28" ht="25.5" x14ac:dyDescent="0.25">
      <c r="A342" s="7">
        <v>341</v>
      </c>
      <c r="B342" s="7" t="s">
        <v>15</v>
      </c>
      <c r="C342" s="7" t="s">
        <v>54</v>
      </c>
      <c r="D342" s="7" t="s">
        <v>438</v>
      </c>
      <c r="E342" s="7"/>
      <c r="F342" s="8"/>
      <c r="G342" s="7" t="s">
        <v>438</v>
      </c>
      <c r="H342" s="9">
        <v>33.647823000000002</v>
      </c>
      <c r="I342" s="9">
        <v>10.277113</v>
      </c>
      <c r="J342" s="7" t="s">
        <v>56</v>
      </c>
      <c r="K342" s="7" t="s">
        <v>37</v>
      </c>
      <c r="L342" s="7"/>
      <c r="M342" s="10">
        <v>19.670000000000002</v>
      </c>
      <c r="N342" s="7" t="s">
        <v>38</v>
      </c>
      <c r="O342" s="7"/>
      <c r="P342" s="8" t="s">
        <v>39</v>
      </c>
      <c r="Q342">
        <v>3.59</v>
      </c>
      <c r="R342">
        <v>27</v>
      </c>
      <c r="S342" t="s">
        <v>58</v>
      </c>
      <c r="T342">
        <v>18</v>
      </c>
      <c r="U342">
        <f t="shared" si="25"/>
        <v>64.62</v>
      </c>
      <c r="V342">
        <v>0.9</v>
      </c>
      <c r="W342">
        <v>0</v>
      </c>
      <c r="X342">
        <v>0</v>
      </c>
      <c r="Y342">
        <f t="shared" si="26"/>
        <v>0</v>
      </c>
      <c r="Z342">
        <f t="shared" si="27"/>
        <v>58.158000000000008</v>
      </c>
      <c r="AA342">
        <f t="shared" si="28"/>
        <v>58.158000000000008</v>
      </c>
      <c r="AB342">
        <f t="shared" si="29"/>
        <v>1143.9678600000002</v>
      </c>
    </row>
    <row r="343" spans="1:28" ht="25.5" x14ac:dyDescent="0.25">
      <c r="A343" s="7">
        <v>342</v>
      </c>
      <c r="B343" s="7" t="s">
        <v>15</v>
      </c>
      <c r="C343" s="7" t="s">
        <v>59</v>
      </c>
      <c r="D343" s="7" t="s">
        <v>439</v>
      </c>
      <c r="E343" s="7"/>
      <c r="F343" s="8"/>
      <c r="G343" s="7" t="s">
        <v>439</v>
      </c>
      <c r="H343" s="9">
        <v>34.354134999999999</v>
      </c>
      <c r="I343" s="9">
        <v>8.3804820000000007</v>
      </c>
      <c r="J343" s="7" t="s">
        <v>61</v>
      </c>
      <c r="K343" s="7" t="s">
        <v>37</v>
      </c>
      <c r="L343" s="7"/>
      <c r="M343" s="10">
        <v>21.46</v>
      </c>
      <c r="N343" s="7" t="s">
        <v>44</v>
      </c>
      <c r="O343" s="7"/>
      <c r="P343" s="8" t="s">
        <v>39</v>
      </c>
      <c r="Q343">
        <v>6.48</v>
      </c>
      <c r="R343">
        <v>21.8</v>
      </c>
      <c r="S343" t="s">
        <v>53</v>
      </c>
      <c r="T343">
        <v>18</v>
      </c>
      <c r="U343">
        <f t="shared" si="25"/>
        <v>116.64000000000001</v>
      </c>
      <c r="V343">
        <v>1.1499999999999999</v>
      </c>
      <c r="W343">
        <v>120</v>
      </c>
      <c r="X343">
        <v>0.35</v>
      </c>
      <c r="Y343">
        <f t="shared" si="26"/>
        <v>42</v>
      </c>
      <c r="Z343">
        <f t="shared" si="27"/>
        <v>134.136</v>
      </c>
      <c r="AA343">
        <f t="shared" si="28"/>
        <v>92.135999999999996</v>
      </c>
      <c r="AB343">
        <f t="shared" si="29"/>
        <v>1977.23856</v>
      </c>
    </row>
    <row r="344" spans="1:28" ht="25.5" x14ac:dyDescent="0.25">
      <c r="A344" s="7">
        <v>343</v>
      </c>
      <c r="B344" s="7" t="s">
        <v>15</v>
      </c>
      <c r="C344" s="7" t="s">
        <v>63</v>
      </c>
      <c r="D344" s="7" t="s">
        <v>440</v>
      </c>
      <c r="E344" s="7"/>
      <c r="F344" s="8"/>
      <c r="G344" s="7" t="s">
        <v>440</v>
      </c>
      <c r="H344" s="9">
        <v>36.933529</v>
      </c>
      <c r="I344" s="9">
        <v>8.7564949999999993</v>
      </c>
      <c r="J344" s="7" t="s">
        <v>65</v>
      </c>
      <c r="K344" s="7" t="s">
        <v>37</v>
      </c>
      <c r="L344" s="7"/>
      <c r="M344" s="10">
        <v>19.28</v>
      </c>
      <c r="N344" s="7" t="s">
        <v>48</v>
      </c>
      <c r="O344" s="7"/>
      <c r="P344" s="8" t="s">
        <v>39</v>
      </c>
      <c r="Q344">
        <v>6.41</v>
      </c>
      <c r="R344">
        <v>29.5</v>
      </c>
      <c r="S344" t="s">
        <v>58</v>
      </c>
      <c r="T344">
        <v>16</v>
      </c>
      <c r="U344">
        <f t="shared" si="25"/>
        <v>102.56</v>
      </c>
      <c r="V344">
        <v>0.81</v>
      </c>
      <c r="W344">
        <v>80</v>
      </c>
      <c r="X344">
        <v>0.35</v>
      </c>
      <c r="Y344">
        <f t="shared" si="26"/>
        <v>28</v>
      </c>
      <c r="Z344">
        <f t="shared" si="27"/>
        <v>83.073600000000013</v>
      </c>
      <c r="AA344">
        <f t="shared" si="28"/>
        <v>55.073600000000013</v>
      </c>
      <c r="AB344">
        <f t="shared" si="29"/>
        <v>1061.8190080000004</v>
      </c>
    </row>
    <row r="345" spans="1:28" ht="25.5" x14ac:dyDescent="0.25">
      <c r="A345" s="7">
        <v>344</v>
      </c>
      <c r="B345" s="7" t="s">
        <v>15</v>
      </c>
      <c r="C345" s="7" t="s">
        <v>67</v>
      </c>
      <c r="D345" s="7" t="s">
        <v>441</v>
      </c>
      <c r="E345" s="7"/>
      <c r="F345" s="8"/>
      <c r="G345" s="7" t="s">
        <v>441</v>
      </c>
      <c r="H345" s="9">
        <v>35.626226000000003</v>
      </c>
      <c r="I345" s="9">
        <v>9.9007090000000009</v>
      </c>
      <c r="J345" s="7" t="s">
        <v>69</v>
      </c>
      <c r="K345" s="7" t="s">
        <v>37</v>
      </c>
      <c r="L345" s="7"/>
      <c r="M345" s="10">
        <v>0.72</v>
      </c>
      <c r="N345" s="7" t="s">
        <v>52</v>
      </c>
      <c r="O345" s="7"/>
      <c r="P345" s="8" t="s">
        <v>39</v>
      </c>
      <c r="Q345">
        <v>7.53</v>
      </c>
      <c r="R345">
        <v>29.2</v>
      </c>
      <c r="S345" t="s">
        <v>58</v>
      </c>
      <c r="T345">
        <v>12</v>
      </c>
      <c r="U345">
        <f t="shared" si="25"/>
        <v>90.36</v>
      </c>
      <c r="V345">
        <v>0.99</v>
      </c>
      <c r="W345">
        <v>80</v>
      </c>
      <c r="X345">
        <v>0.35</v>
      </c>
      <c r="Y345">
        <f t="shared" si="26"/>
        <v>28</v>
      </c>
      <c r="Z345">
        <f t="shared" si="27"/>
        <v>89.456400000000002</v>
      </c>
      <c r="AA345">
        <f t="shared" si="28"/>
        <v>61.456400000000002</v>
      </c>
      <c r="AB345">
        <f t="shared" si="29"/>
        <v>44.248607999999997</v>
      </c>
    </row>
    <row r="346" spans="1:28" ht="25.5" x14ac:dyDescent="0.25">
      <c r="A346" s="7">
        <v>345</v>
      </c>
      <c r="B346" s="7" t="s">
        <v>15</v>
      </c>
      <c r="C346" s="7" t="s">
        <v>71</v>
      </c>
      <c r="D346" s="7" t="s">
        <v>442</v>
      </c>
      <c r="E346" s="7"/>
      <c r="F346" s="8"/>
      <c r="G346" s="7" t="s">
        <v>442</v>
      </c>
      <c r="H346" s="9">
        <v>35.232410999999999</v>
      </c>
      <c r="I346" s="9">
        <v>9.0941639999999992</v>
      </c>
      <c r="J346" s="7" t="s">
        <v>73</v>
      </c>
      <c r="K346" s="7" t="s">
        <v>37</v>
      </c>
      <c r="L346" s="7"/>
      <c r="M346" s="10">
        <v>16</v>
      </c>
      <c r="N346" s="7" t="s">
        <v>57</v>
      </c>
      <c r="O346" s="7"/>
      <c r="P346" s="8" t="s">
        <v>39</v>
      </c>
      <c r="Q346">
        <v>7.99</v>
      </c>
      <c r="R346">
        <v>26.4</v>
      </c>
      <c r="S346" t="s">
        <v>58</v>
      </c>
      <c r="T346">
        <v>8</v>
      </c>
      <c r="U346">
        <f t="shared" si="25"/>
        <v>63.92</v>
      </c>
      <c r="V346">
        <v>1.08</v>
      </c>
      <c r="W346">
        <v>0</v>
      </c>
      <c r="X346">
        <v>0</v>
      </c>
      <c r="Y346">
        <f t="shared" si="26"/>
        <v>0</v>
      </c>
      <c r="Z346">
        <f t="shared" si="27"/>
        <v>69.033600000000007</v>
      </c>
      <c r="AA346">
        <f t="shared" si="28"/>
        <v>69.033600000000007</v>
      </c>
      <c r="AB346">
        <f t="shared" si="29"/>
        <v>1104.5376000000001</v>
      </c>
    </row>
    <row r="347" spans="1:28" ht="25.5" x14ac:dyDescent="0.25">
      <c r="A347" s="7">
        <v>346</v>
      </c>
      <c r="B347" s="7" t="s">
        <v>15</v>
      </c>
      <c r="C347" s="7" t="s">
        <v>75</v>
      </c>
      <c r="D347" s="7" t="s">
        <v>443</v>
      </c>
      <c r="E347" s="7"/>
      <c r="F347" s="8"/>
      <c r="G347" s="7" t="s">
        <v>443</v>
      </c>
      <c r="H347" s="9">
        <v>33.473123000000001</v>
      </c>
      <c r="I347" s="9">
        <v>9.0170600000000007</v>
      </c>
      <c r="J347" s="7" t="s">
        <v>77</v>
      </c>
      <c r="K347" s="7" t="s">
        <v>37</v>
      </c>
      <c r="L347" s="7"/>
      <c r="M347" s="10">
        <v>4.38</v>
      </c>
      <c r="N347" s="7" t="s">
        <v>62</v>
      </c>
      <c r="O347" s="7"/>
      <c r="P347" s="8" t="s">
        <v>39</v>
      </c>
      <c r="Q347">
        <v>6.45</v>
      </c>
      <c r="R347">
        <v>34</v>
      </c>
      <c r="S347" t="s">
        <v>58</v>
      </c>
      <c r="T347">
        <v>7</v>
      </c>
      <c r="U347">
        <f t="shared" si="25"/>
        <v>45.15</v>
      </c>
      <c r="V347">
        <v>0.99</v>
      </c>
      <c r="W347">
        <v>50</v>
      </c>
      <c r="X347">
        <v>0.35</v>
      </c>
      <c r="Y347">
        <f t="shared" si="26"/>
        <v>17.5</v>
      </c>
      <c r="Z347">
        <f t="shared" si="27"/>
        <v>44.698499999999996</v>
      </c>
      <c r="AA347">
        <f t="shared" si="28"/>
        <v>27.198499999999996</v>
      </c>
      <c r="AB347">
        <f t="shared" si="29"/>
        <v>119.12942999999999</v>
      </c>
    </row>
    <row r="348" spans="1:28" ht="25.5" x14ac:dyDescent="0.25">
      <c r="A348" s="7">
        <v>347</v>
      </c>
      <c r="B348" s="7" t="s">
        <v>15</v>
      </c>
      <c r="C348" s="7" t="s">
        <v>79</v>
      </c>
      <c r="D348" s="7" t="s">
        <v>444</v>
      </c>
      <c r="E348" s="7"/>
      <c r="F348" s="8"/>
      <c r="G348" s="7" t="s">
        <v>444</v>
      </c>
      <c r="H348" s="9">
        <v>35.936255000000003</v>
      </c>
      <c r="I348" s="9">
        <v>8.8180829999999997</v>
      </c>
      <c r="J348" s="7" t="s">
        <v>81</v>
      </c>
      <c r="K348" s="7" t="s">
        <v>37</v>
      </c>
      <c r="L348" s="7"/>
      <c r="M348" s="10">
        <v>12.58</v>
      </c>
      <c r="N348" s="7" t="s">
        <v>66</v>
      </c>
      <c r="O348" s="7"/>
      <c r="P348" s="8" t="s">
        <v>39</v>
      </c>
      <c r="Q348">
        <v>6.29</v>
      </c>
      <c r="R348">
        <v>41.1</v>
      </c>
      <c r="S348" t="s">
        <v>40</v>
      </c>
      <c r="T348">
        <v>10</v>
      </c>
      <c r="U348">
        <f t="shared" si="25"/>
        <v>62.9</v>
      </c>
      <c r="V348">
        <v>0.48</v>
      </c>
      <c r="W348">
        <v>80</v>
      </c>
      <c r="X348">
        <v>0.35</v>
      </c>
      <c r="Y348">
        <f t="shared" si="26"/>
        <v>28</v>
      </c>
      <c r="Z348">
        <f t="shared" si="27"/>
        <v>30.191999999999997</v>
      </c>
      <c r="AA348">
        <f t="shared" si="28"/>
        <v>2.1919999999999966</v>
      </c>
      <c r="AB348">
        <f t="shared" si="29"/>
        <v>27.575359999999957</v>
      </c>
    </row>
    <row r="349" spans="1:28" ht="25.5" x14ac:dyDescent="0.25">
      <c r="A349" s="7">
        <v>348</v>
      </c>
      <c r="B349" s="7" t="s">
        <v>15</v>
      </c>
      <c r="C349" s="7" t="s">
        <v>82</v>
      </c>
      <c r="D349" s="7" t="s">
        <v>445</v>
      </c>
      <c r="E349" s="7"/>
      <c r="F349" s="8"/>
      <c r="G349" s="7" t="s">
        <v>445</v>
      </c>
      <c r="H349" s="9">
        <v>35.247508000000003</v>
      </c>
      <c r="I349" s="9">
        <v>11.105349</v>
      </c>
      <c r="J349" s="7" t="s">
        <v>84</v>
      </c>
      <c r="K349" s="7" t="s">
        <v>37</v>
      </c>
      <c r="L349" s="7"/>
      <c r="M349" s="10">
        <v>25</v>
      </c>
      <c r="N349" s="7" t="s">
        <v>70</v>
      </c>
      <c r="O349" s="7"/>
      <c r="P349" s="8" t="s">
        <v>39</v>
      </c>
      <c r="Q349">
        <v>4.18</v>
      </c>
      <c r="R349">
        <v>30.5</v>
      </c>
      <c r="S349" t="s">
        <v>58</v>
      </c>
      <c r="T349">
        <v>9</v>
      </c>
      <c r="U349">
        <f t="shared" si="25"/>
        <v>37.619999999999997</v>
      </c>
      <c r="V349">
        <v>0.81</v>
      </c>
      <c r="W349">
        <v>0</v>
      </c>
      <c r="X349">
        <v>0</v>
      </c>
      <c r="Y349">
        <f t="shared" si="26"/>
        <v>0</v>
      </c>
      <c r="Z349">
        <f t="shared" si="27"/>
        <v>30.472200000000001</v>
      </c>
      <c r="AA349">
        <f t="shared" si="28"/>
        <v>30.472200000000001</v>
      </c>
      <c r="AB349">
        <f t="shared" si="29"/>
        <v>761.80500000000006</v>
      </c>
    </row>
    <row r="350" spans="1:28" ht="25.5" x14ac:dyDescent="0.25">
      <c r="A350" s="7">
        <v>349</v>
      </c>
      <c r="B350" s="7" t="s">
        <v>15</v>
      </c>
      <c r="C350" s="7" t="s">
        <v>85</v>
      </c>
      <c r="D350" s="7" t="s">
        <v>446</v>
      </c>
      <c r="E350" s="7"/>
      <c r="F350" s="8"/>
      <c r="G350" s="7" t="s">
        <v>446</v>
      </c>
      <c r="H350" s="9">
        <v>36.815123999999997</v>
      </c>
      <c r="I350" s="9">
        <v>9.8671100000000003</v>
      </c>
      <c r="J350" s="7" t="s">
        <v>87</v>
      </c>
      <c r="K350" s="7" t="s">
        <v>37</v>
      </c>
      <c r="L350" s="7"/>
      <c r="M350" s="10">
        <v>20.13</v>
      </c>
      <c r="N350" s="7" t="s">
        <v>74</v>
      </c>
      <c r="O350" s="7"/>
      <c r="P350" s="8" t="s">
        <v>39</v>
      </c>
      <c r="Q350">
        <v>4.21</v>
      </c>
      <c r="R350">
        <v>36.4</v>
      </c>
      <c r="S350" t="s">
        <v>40</v>
      </c>
      <c r="T350">
        <v>10</v>
      </c>
      <c r="U350">
        <f t="shared" si="25"/>
        <v>42.1</v>
      </c>
      <c r="V350">
        <v>0.54</v>
      </c>
      <c r="W350">
        <v>120</v>
      </c>
      <c r="X350">
        <v>0.35</v>
      </c>
      <c r="Y350">
        <f t="shared" si="26"/>
        <v>42</v>
      </c>
      <c r="Z350">
        <f t="shared" si="27"/>
        <v>22.734000000000002</v>
      </c>
      <c r="AA350">
        <f t="shared" si="28"/>
        <v>0</v>
      </c>
      <c r="AB350">
        <f t="shared" si="29"/>
        <v>0</v>
      </c>
    </row>
    <row r="351" spans="1:28" ht="25.5" x14ac:dyDescent="0.25">
      <c r="A351" s="7">
        <v>350</v>
      </c>
      <c r="B351" s="7" t="s">
        <v>15</v>
      </c>
      <c r="C351" s="7" t="s">
        <v>88</v>
      </c>
      <c r="D351" s="7" t="s">
        <v>447</v>
      </c>
      <c r="E351" s="7"/>
      <c r="F351" s="8"/>
      <c r="G351" s="7" t="s">
        <v>447</v>
      </c>
      <c r="H351" s="9">
        <v>33.795119</v>
      </c>
      <c r="I351" s="9">
        <v>11.016109999999999</v>
      </c>
      <c r="J351" s="7" t="s">
        <v>90</v>
      </c>
      <c r="K351" s="7" t="s">
        <v>37</v>
      </c>
      <c r="L351" s="7"/>
      <c r="M351" s="10">
        <v>15.54</v>
      </c>
      <c r="N351" s="7" t="s">
        <v>78</v>
      </c>
      <c r="O351" s="7"/>
      <c r="P351" s="8" t="s">
        <v>39</v>
      </c>
      <c r="Q351">
        <v>4.55</v>
      </c>
      <c r="R351">
        <v>40.200000000000003</v>
      </c>
      <c r="S351" t="s">
        <v>40</v>
      </c>
      <c r="T351">
        <v>14</v>
      </c>
      <c r="U351">
        <f t="shared" si="25"/>
        <v>63.699999999999996</v>
      </c>
      <c r="V351">
        <v>0.6</v>
      </c>
      <c r="W351">
        <v>0</v>
      </c>
      <c r="X351">
        <v>0</v>
      </c>
      <c r="Y351">
        <f t="shared" si="26"/>
        <v>0</v>
      </c>
      <c r="Z351">
        <f t="shared" si="27"/>
        <v>38.22</v>
      </c>
      <c r="AA351">
        <f t="shared" si="28"/>
        <v>38.22</v>
      </c>
      <c r="AB351">
        <f t="shared" si="29"/>
        <v>593.9387999999999</v>
      </c>
    </row>
    <row r="352" spans="1:28" ht="25.5" x14ac:dyDescent="0.25">
      <c r="A352" s="7">
        <v>351</v>
      </c>
      <c r="B352" s="7" t="s">
        <v>15</v>
      </c>
      <c r="C352" s="7" t="s">
        <v>92</v>
      </c>
      <c r="D352" s="7" t="s">
        <v>448</v>
      </c>
      <c r="E352" s="7"/>
      <c r="F352" s="8"/>
      <c r="G352" s="7" t="s">
        <v>448</v>
      </c>
      <c r="H352" s="9">
        <v>35.596279000000003</v>
      </c>
      <c r="I352" s="9">
        <v>10.750869</v>
      </c>
      <c r="J352" s="7" t="s">
        <v>94</v>
      </c>
      <c r="K352" s="7" t="s">
        <v>37</v>
      </c>
      <c r="L352" s="7"/>
      <c r="M352" s="10">
        <v>9.9700000000000006</v>
      </c>
      <c r="N352" s="7" t="s">
        <v>38</v>
      </c>
      <c r="O352" s="7"/>
      <c r="P352" s="8" t="s">
        <v>39</v>
      </c>
      <c r="Q352">
        <v>5.54</v>
      </c>
      <c r="R352">
        <v>43.3</v>
      </c>
      <c r="S352" t="s">
        <v>40</v>
      </c>
      <c r="T352">
        <v>18</v>
      </c>
      <c r="U352">
        <f t="shared" si="25"/>
        <v>99.72</v>
      </c>
      <c r="V352">
        <v>0.6</v>
      </c>
      <c r="W352">
        <v>50</v>
      </c>
      <c r="X352">
        <v>0.35</v>
      </c>
      <c r="Y352">
        <f t="shared" si="26"/>
        <v>17.5</v>
      </c>
      <c r="Z352">
        <f t="shared" si="27"/>
        <v>59.831999999999994</v>
      </c>
      <c r="AA352">
        <f t="shared" si="28"/>
        <v>42.331999999999994</v>
      </c>
      <c r="AB352">
        <f t="shared" si="29"/>
        <v>422.05003999999997</v>
      </c>
    </row>
    <row r="353" spans="1:28" ht="25.5" x14ac:dyDescent="0.25">
      <c r="A353" s="7">
        <v>352</v>
      </c>
      <c r="B353" s="7" t="s">
        <v>15</v>
      </c>
      <c r="C353" s="7" t="s">
        <v>95</v>
      </c>
      <c r="D353" s="7" t="s">
        <v>449</v>
      </c>
      <c r="E353" s="7"/>
      <c r="F353" s="8"/>
      <c r="G353" s="7" t="s">
        <v>449</v>
      </c>
      <c r="H353" s="9">
        <v>36.580806000000003</v>
      </c>
      <c r="I353" s="9">
        <v>10.882038</v>
      </c>
      <c r="J353" s="7" t="s">
        <v>97</v>
      </c>
      <c r="K353" s="7" t="s">
        <v>37</v>
      </c>
      <c r="L353" s="7"/>
      <c r="M353" s="10">
        <v>16.829999999999998</v>
      </c>
      <c r="N353" s="7" t="s">
        <v>44</v>
      </c>
      <c r="O353" s="7"/>
      <c r="P353" s="8" t="s">
        <v>39</v>
      </c>
      <c r="Q353">
        <v>2.84</v>
      </c>
      <c r="R353">
        <v>32.4</v>
      </c>
      <c r="S353" t="s">
        <v>58</v>
      </c>
      <c r="T353">
        <v>18</v>
      </c>
      <c r="U353">
        <f t="shared" si="25"/>
        <v>51.12</v>
      </c>
      <c r="V353">
        <v>0.9</v>
      </c>
      <c r="W353">
        <v>0</v>
      </c>
      <c r="X353">
        <v>0</v>
      </c>
      <c r="Y353">
        <f t="shared" si="26"/>
        <v>0</v>
      </c>
      <c r="Z353">
        <f t="shared" si="27"/>
        <v>46.007999999999996</v>
      </c>
      <c r="AA353">
        <f t="shared" si="28"/>
        <v>46.007999999999996</v>
      </c>
      <c r="AB353">
        <f t="shared" si="29"/>
        <v>774.31463999999983</v>
      </c>
    </row>
    <row r="354" spans="1:28" ht="25.5" x14ac:dyDescent="0.25">
      <c r="A354" s="7">
        <v>353</v>
      </c>
      <c r="B354" s="7" t="s">
        <v>15</v>
      </c>
      <c r="C354" s="7" t="s">
        <v>98</v>
      </c>
      <c r="D354" s="7" t="s">
        <v>450</v>
      </c>
      <c r="E354" s="7"/>
      <c r="F354" s="8"/>
      <c r="G354" s="7" t="s">
        <v>450</v>
      </c>
      <c r="H354" s="9">
        <v>34.762849000000003</v>
      </c>
      <c r="I354" s="9">
        <v>10.494567</v>
      </c>
      <c r="J354" s="7" t="s">
        <v>100</v>
      </c>
      <c r="K354" s="7" t="s">
        <v>37</v>
      </c>
      <c r="L354" s="7"/>
      <c r="M354" s="10">
        <v>22</v>
      </c>
      <c r="N354" s="7" t="s">
        <v>48</v>
      </c>
      <c r="O354" s="7"/>
      <c r="P354" s="8" t="s">
        <v>39</v>
      </c>
      <c r="Q354">
        <v>2.25</v>
      </c>
      <c r="R354">
        <v>43.2</v>
      </c>
      <c r="S354" t="s">
        <v>40</v>
      </c>
      <c r="T354">
        <v>16</v>
      </c>
      <c r="U354">
        <f t="shared" si="25"/>
        <v>36</v>
      </c>
      <c r="V354">
        <v>0.54</v>
      </c>
      <c r="W354">
        <v>0</v>
      </c>
      <c r="X354">
        <v>0</v>
      </c>
      <c r="Y354">
        <f t="shared" si="26"/>
        <v>0</v>
      </c>
      <c r="Z354">
        <f t="shared" si="27"/>
        <v>19.440000000000001</v>
      </c>
      <c r="AA354">
        <f t="shared" si="28"/>
        <v>19.440000000000001</v>
      </c>
      <c r="AB354">
        <f t="shared" si="29"/>
        <v>427.68</v>
      </c>
    </row>
    <row r="355" spans="1:28" ht="25.5" x14ac:dyDescent="0.25">
      <c r="A355" s="7">
        <v>354</v>
      </c>
      <c r="B355" s="7" t="s">
        <v>15</v>
      </c>
      <c r="C355" s="7" t="s">
        <v>101</v>
      </c>
      <c r="D355" s="7" t="s">
        <v>451</v>
      </c>
      <c r="E355" s="7"/>
      <c r="F355" s="8"/>
      <c r="G355" s="7" t="s">
        <v>451</v>
      </c>
      <c r="H355" s="9">
        <v>34.903906999999997</v>
      </c>
      <c r="I355" s="9">
        <v>9.7839310000000008</v>
      </c>
      <c r="J355" s="7" t="s">
        <v>103</v>
      </c>
      <c r="K355" s="7" t="s">
        <v>37</v>
      </c>
      <c r="L355" s="7"/>
      <c r="M355" s="10">
        <v>24.23</v>
      </c>
      <c r="N355" s="7" t="s">
        <v>52</v>
      </c>
      <c r="O355" s="7"/>
      <c r="P355" s="8" t="s">
        <v>39</v>
      </c>
      <c r="Q355">
        <v>4.26</v>
      </c>
      <c r="R355">
        <v>23.5</v>
      </c>
      <c r="S355" t="s">
        <v>53</v>
      </c>
      <c r="T355">
        <v>12</v>
      </c>
      <c r="U355">
        <f t="shared" si="25"/>
        <v>51.12</v>
      </c>
      <c r="V355">
        <v>1.26</v>
      </c>
      <c r="W355">
        <v>0</v>
      </c>
      <c r="X355">
        <v>0</v>
      </c>
      <c r="Y355">
        <f t="shared" si="26"/>
        <v>0</v>
      </c>
      <c r="Z355">
        <f t="shared" si="27"/>
        <v>64.411199999999994</v>
      </c>
      <c r="AA355">
        <f t="shared" si="28"/>
        <v>64.411199999999994</v>
      </c>
      <c r="AB355">
        <f t="shared" si="29"/>
        <v>1560.683376</v>
      </c>
    </row>
    <row r="356" spans="1:28" ht="25.5" x14ac:dyDescent="0.25">
      <c r="A356" s="7">
        <v>355</v>
      </c>
      <c r="B356" s="7" t="s">
        <v>15</v>
      </c>
      <c r="C356" s="7" t="s">
        <v>104</v>
      </c>
      <c r="D356" s="7" t="s">
        <v>452</v>
      </c>
      <c r="E356" s="7"/>
      <c r="F356" s="8"/>
      <c r="G356" s="7" t="s">
        <v>452</v>
      </c>
      <c r="H356" s="9">
        <v>35.846102000000002</v>
      </c>
      <c r="I356" s="9">
        <v>9.19618</v>
      </c>
      <c r="J356" s="7" t="s">
        <v>106</v>
      </c>
      <c r="K356" s="7" t="s">
        <v>37</v>
      </c>
      <c r="L356" s="7"/>
      <c r="M356" s="10">
        <v>1.8</v>
      </c>
      <c r="N356" s="7" t="s">
        <v>57</v>
      </c>
      <c r="O356" s="7"/>
      <c r="P356" s="8" t="s">
        <v>39</v>
      </c>
      <c r="Q356">
        <v>7.33</v>
      </c>
      <c r="R356">
        <v>20.100000000000001</v>
      </c>
      <c r="S356" t="s">
        <v>53</v>
      </c>
      <c r="T356">
        <v>8</v>
      </c>
      <c r="U356">
        <f t="shared" si="25"/>
        <v>58.64</v>
      </c>
      <c r="V356">
        <v>1.38</v>
      </c>
      <c r="W356">
        <v>80</v>
      </c>
      <c r="X356">
        <v>0.35</v>
      </c>
      <c r="Y356">
        <f t="shared" si="26"/>
        <v>28</v>
      </c>
      <c r="Z356">
        <f t="shared" si="27"/>
        <v>80.923199999999994</v>
      </c>
      <c r="AA356">
        <f t="shared" si="28"/>
        <v>52.923199999999994</v>
      </c>
      <c r="AB356">
        <f t="shared" si="29"/>
        <v>95.261759999999995</v>
      </c>
    </row>
    <row r="357" spans="1:28" ht="25.5" x14ac:dyDescent="0.25">
      <c r="A357" s="7">
        <v>356</v>
      </c>
      <c r="B357" s="7" t="s">
        <v>15</v>
      </c>
      <c r="C357" s="7" t="s">
        <v>107</v>
      </c>
      <c r="D357" s="7" t="s">
        <v>453</v>
      </c>
      <c r="E357" s="7"/>
      <c r="F357" s="8"/>
      <c r="G357" s="7" t="s">
        <v>453</v>
      </c>
      <c r="H357" s="9">
        <v>36.148997999999999</v>
      </c>
      <c r="I357" s="9">
        <v>10.395019</v>
      </c>
      <c r="J357" s="7" t="s">
        <v>109</v>
      </c>
      <c r="K357" s="7" t="s">
        <v>37</v>
      </c>
      <c r="L357" s="7"/>
      <c r="M357" s="10">
        <v>11.03</v>
      </c>
      <c r="N357" s="7" t="s">
        <v>62</v>
      </c>
      <c r="O357" s="7"/>
      <c r="P357" s="8" t="s">
        <v>39</v>
      </c>
      <c r="Q357">
        <v>2.02</v>
      </c>
      <c r="R357">
        <v>19.3</v>
      </c>
      <c r="S357" t="s">
        <v>53</v>
      </c>
      <c r="T357">
        <v>7</v>
      </c>
      <c r="U357">
        <f t="shared" si="25"/>
        <v>14.14</v>
      </c>
      <c r="V357">
        <v>1.26</v>
      </c>
      <c r="W357">
        <v>160</v>
      </c>
      <c r="X357">
        <v>0.35</v>
      </c>
      <c r="Y357">
        <f t="shared" si="26"/>
        <v>56</v>
      </c>
      <c r="Z357">
        <f t="shared" si="27"/>
        <v>17.816400000000002</v>
      </c>
      <c r="AA357">
        <f t="shared" si="28"/>
        <v>0</v>
      </c>
      <c r="AB357">
        <f t="shared" si="29"/>
        <v>0</v>
      </c>
    </row>
    <row r="358" spans="1:28" ht="25.5" x14ac:dyDescent="0.25">
      <c r="A358" s="7">
        <v>357</v>
      </c>
      <c r="B358" s="7" t="s">
        <v>15</v>
      </c>
      <c r="C358" s="7" t="s">
        <v>110</v>
      </c>
      <c r="D358" s="7" t="s">
        <v>454</v>
      </c>
      <c r="E358" s="7"/>
      <c r="F358" s="8"/>
      <c r="G358" s="7" t="s">
        <v>454</v>
      </c>
      <c r="H358" s="9">
        <v>33.172258999999997</v>
      </c>
      <c r="I358" s="9">
        <v>10.218601</v>
      </c>
      <c r="J358" s="7" t="s">
        <v>112</v>
      </c>
      <c r="K358" s="7" t="s">
        <v>37</v>
      </c>
      <c r="L358" s="7"/>
      <c r="M358" s="10">
        <v>7.69</v>
      </c>
      <c r="N358" s="7" t="s">
        <v>66</v>
      </c>
      <c r="O358" s="7"/>
      <c r="P358" s="8" t="s">
        <v>39</v>
      </c>
      <c r="Q358">
        <v>2.15</v>
      </c>
      <c r="R358">
        <v>22.8</v>
      </c>
      <c r="S358" t="s">
        <v>53</v>
      </c>
      <c r="T358">
        <v>10</v>
      </c>
      <c r="U358">
        <f t="shared" si="25"/>
        <v>21.5</v>
      </c>
      <c r="V358">
        <v>0.92</v>
      </c>
      <c r="W358">
        <v>0</v>
      </c>
      <c r="X358">
        <v>0</v>
      </c>
      <c r="Y358">
        <f t="shared" si="26"/>
        <v>0</v>
      </c>
      <c r="Z358">
        <f t="shared" si="27"/>
        <v>19.78</v>
      </c>
      <c r="AA358">
        <f t="shared" si="28"/>
        <v>19.78</v>
      </c>
      <c r="AB358">
        <f t="shared" si="29"/>
        <v>152.10820000000001</v>
      </c>
    </row>
    <row r="359" spans="1:28" ht="25.5" x14ac:dyDescent="0.25">
      <c r="A359" s="7">
        <v>358</v>
      </c>
      <c r="B359" s="7" t="s">
        <v>15</v>
      </c>
      <c r="C359" s="7" t="s">
        <v>113</v>
      </c>
      <c r="D359" s="7" t="s">
        <v>455</v>
      </c>
      <c r="E359" s="7"/>
      <c r="F359" s="8"/>
      <c r="G359" s="7" t="s">
        <v>455</v>
      </c>
      <c r="H359" s="9">
        <v>33.87097</v>
      </c>
      <c r="I359" s="9">
        <v>7.8739749999999997</v>
      </c>
      <c r="J359" s="7" t="s">
        <v>115</v>
      </c>
      <c r="K359" s="7" t="s">
        <v>37</v>
      </c>
      <c r="L359" s="7"/>
      <c r="M359" s="10">
        <v>21.67</v>
      </c>
      <c r="N359" s="7" t="s">
        <v>70</v>
      </c>
      <c r="O359" s="7"/>
      <c r="P359" s="8" t="s">
        <v>39</v>
      </c>
      <c r="Q359">
        <v>5.85</v>
      </c>
      <c r="R359">
        <v>12.7</v>
      </c>
      <c r="S359" t="s">
        <v>91</v>
      </c>
      <c r="T359">
        <v>9</v>
      </c>
      <c r="U359">
        <f t="shared" si="25"/>
        <v>52.65</v>
      </c>
      <c r="V359">
        <v>1.22</v>
      </c>
      <c r="W359">
        <v>0</v>
      </c>
      <c r="X359">
        <v>0</v>
      </c>
      <c r="Y359">
        <f t="shared" si="26"/>
        <v>0</v>
      </c>
      <c r="Z359">
        <f t="shared" si="27"/>
        <v>64.23299999999999</v>
      </c>
      <c r="AA359">
        <f t="shared" si="28"/>
        <v>64.23299999999999</v>
      </c>
      <c r="AB359">
        <f t="shared" si="29"/>
        <v>1391.9291099999998</v>
      </c>
    </row>
    <row r="360" spans="1:28" ht="25.5" x14ac:dyDescent="0.25">
      <c r="A360" s="7">
        <v>359</v>
      </c>
      <c r="B360" s="7" t="s">
        <v>15</v>
      </c>
      <c r="C360" s="7" t="s">
        <v>116</v>
      </c>
      <c r="D360" s="7" t="s">
        <v>456</v>
      </c>
      <c r="E360" s="7"/>
      <c r="F360" s="8"/>
      <c r="G360" s="7" t="s">
        <v>456</v>
      </c>
      <c r="H360" s="9">
        <v>36.873179</v>
      </c>
      <c r="I360" s="9">
        <v>10.317078</v>
      </c>
      <c r="J360" s="7" t="s">
        <v>118</v>
      </c>
      <c r="K360" s="7" t="s">
        <v>37</v>
      </c>
      <c r="L360" s="7"/>
      <c r="M360" s="10">
        <v>17.75</v>
      </c>
      <c r="N360" s="7" t="s">
        <v>74</v>
      </c>
      <c r="O360" s="7"/>
      <c r="P360" s="8" t="s">
        <v>39</v>
      </c>
      <c r="Q360">
        <v>5.67</v>
      </c>
      <c r="R360">
        <v>39.4</v>
      </c>
      <c r="S360" t="s">
        <v>40</v>
      </c>
      <c r="T360">
        <v>10</v>
      </c>
      <c r="U360">
        <f t="shared" si="25"/>
        <v>56.7</v>
      </c>
      <c r="V360">
        <v>0.54</v>
      </c>
      <c r="W360">
        <v>0</v>
      </c>
      <c r="X360">
        <v>0</v>
      </c>
      <c r="Y360">
        <f t="shared" si="26"/>
        <v>0</v>
      </c>
      <c r="Z360">
        <f t="shared" si="27"/>
        <v>30.618000000000002</v>
      </c>
      <c r="AA360">
        <f t="shared" si="28"/>
        <v>30.618000000000002</v>
      </c>
      <c r="AB360">
        <f t="shared" si="29"/>
        <v>543.46950000000004</v>
      </c>
    </row>
    <row r="361" spans="1:28" ht="25.5" x14ac:dyDescent="0.25">
      <c r="A361" s="7">
        <v>360</v>
      </c>
      <c r="B361" s="7" t="s">
        <v>15</v>
      </c>
      <c r="C361" s="7" t="s">
        <v>119</v>
      </c>
      <c r="D361" s="7" t="s">
        <v>457</v>
      </c>
      <c r="E361" s="7"/>
      <c r="F361" s="8"/>
      <c r="G361" s="7" t="s">
        <v>457</v>
      </c>
      <c r="H361" s="9">
        <v>36.394848000000003</v>
      </c>
      <c r="I361" s="9">
        <v>9.6390200000000004</v>
      </c>
      <c r="J361" s="7" t="s">
        <v>121</v>
      </c>
      <c r="K361" s="7" t="s">
        <v>37</v>
      </c>
      <c r="L361" s="7"/>
      <c r="M361" s="10">
        <v>24.52</v>
      </c>
      <c r="N361" s="7" t="s">
        <v>78</v>
      </c>
      <c r="O361" s="7"/>
      <c r="P361" s="8" t="s">
        <v>39</v>
      </c>
      <c r="Q361">
        <v>2.2200000000000002</v>
      </c>
      <c r="R361">
        <v>20.8</v>
      </c>
      <c r="S361" t="s">
        <v>53</v>
      </c>
      <c r="T361">
        <v>14</v>
      </c>
      <c r="U361">
        <f t="shared" si="25"/>
        <v>31.080000000000002</v>
      </c>
      <c r="V361">
        <v>1.1499999999999999</v>
      </c>
      <c r="W361">
        <v>120</v>
      </c>
      <c r="X361">
        <v>0.35</v>
      </c>
      <c r="Y361">
        <f t="shared" si="26"/>
        <v>42</v>
      </c>
      <c r="Z361">
        <f t="shared" si="27"/>
        <v>35.741999999999997</v>
      </c>
      <c r="AA361">
        <f t="shared" si="28"/>
        <v>0</v>
      </c>
      <c r="AB361">
        <f t="shared" si="29"/>
        <v>0</v>
      </c>
    </row>
    <row r="362" spans="1:28" ht="25.5" x14ac:dyDescent="0.25">
      <c r="A362" s="7">
        <v>361</v>
      </c>
      <c r="B362" s="7" t="s">
        <v>15</v>
      </c>
      <c r="C362" s="7" t="s">
        <v>34</v>
      </c>
      <c r="D362" s="7" t="s">
        <v>458</v>
      </c>
      <c r="E362" s="7"/>
      <c r="F362" s="8"/>
      <c r="G362" s="7" t="s">
        <v>458</v>
      </c>
      <c r="H362" s="9">
        <v>36.885810999999997</v>
      </c>
      <c r="I362" s="9">
        <v>10.211047000000001</v>
      </c>
      <c r="J362" s="7" t="s">
        <v>36</v>
      </c>
      <c r="K362" s="7" t="s">
        <v>37</v>
      </c>
      <c r="L362" s="7"/>
      <c r="M362" s="10">
        <v>1.93</v>
      </c>
      <c r="N362" s="7" t="s">
        <v>38</v>
      </c>
      <c r="O362" s="7"/>
      <c r="P362" s="8" t="s">
        <v>39</v>
      </c>
      <c r="Q362">
        <v>5.45</v>
      </c>
      <c r="R362">
        <v>17</v>
      </c>
      <c r="S362" t="s">
        <v>53</v>
      </c>
      <c r="T362">
        <v>18</v>
      </c>
      <c r="U362">
        <f t="shared" si="25"/>
        <v>98.100000000000009</v>
      </c>
      <c r="V362">
        <v>1.1499999999999999</v>
      </c>
      <c r="W362">
        <v>0</v>
      </c>
      <c r="X362">
        <v>0</v>
      </c>
      <c r="Y362">
        <f t="shared" si="26"/>
        <v>0</v>
      </c>
      <c r="Z362">
        <f t="shared" si="27"/>
        <v>112.815</v>
      </c>
      <c r="AA362">
        <f t="shared" si="28"/>
        <v>112.815</v>
      </c>
      <c r="AB362">
        <f t="shared" si="29"/>
        <v>217.73294999999999</v>
      </c>
    </row>
    <row r="363" spans="1:28" ht="25.5" x14ac:dyDescent="0.25">
      <c r="A363" s="7">
        <v>362</v>
      </c>
      <c r="B363" s="7" t="s">
        <v>15</v>
      </c>
      <c r="C363" s="7" t="s">
        <v>41</v>
      </c>
      <c r="D363" s="7" t="s">
        <v>459</v>
      </c>
      <c r="E363" s="7"/>
      <c r="F363" s="8"/>
      <c r="G363" s="7" t="s">
        <v>459</v>
      </c>
      <c r="H363" s="9">
        <v>36.628286000000003</v>
      </c>
      <c r="I363" s="9">
        <v>9.6014739999999996</v>
      </c>
      <c r="J363" s="7" t="s">
        <v>43</v>
      </c>
      <c r="K363" s="7" t="s">
        <v>37</v>
      </c>
      <c r="L363" s="7"/>
      <c r="M363" s="10">
        <v>15</v>
      </c>
      <c r="N363" s="7" t="s">
        <v>44</v>
      </c>
      <c r="O363" s="7"/>
      <c r="P363" s="8" t="s">
        <v>39</v>
      </c>
      <c r="Q363">
        <v>5.84</v>
      </c>
      <c r="R363">
        <v>27.1</v>
      </c>
      <c r="S363" t="s">
        <v>58</v>
      </c>
      <c r="T363">
        <v>18</v>
      </c>
      <c r="U363">
        <f t="shared" si="25"/>
        <v>105.12</v>
      </c>
      <c r="V363">
        <v>0.9</v>
      </c>
      <c r="W363">
        <v>0</v>
      </c>
      <c r="X363">
        <v>0</v>
      </c>
      <c r="Y363">
        <f t="shared" si="26"/>
        <v>0</v>
      </c>
      <c r="Z363">
        <f t="shared" si="27"/>
        <v>94.608000000000004</v>
      </c>
      <c r="AA363">
        <f t="shared" si="28"/>
        <v>94.608000000000004</v>
      </c>
      <c r="AB363">
        <f t="shared" si="29"/>
        <v>1419.1200000000001</v>
      </c>
    </row>
    <row r="364" spans="1:28" ht="25.5" x14ac:dyDescent="0.25">
      <c r="A364" s="7">
        <v>363</v>
      </c>
      <c r="B364" s="7" t="s">
        <v>15</v>
      </c>
      <c r="C364" s="7" t="s">
        <v>45</v>
      </c>
      <c r="D364" s="7" t="s">
        <v>460</v>
      </c>
      <c r="E364" s="7"/>
      <c r="F364" s="8"/>
      <c r="G364" s="7" t="s">
        <v>460</v>
      </c>
      <c r="H364" s="9">
        <v>36.626553000000001</v>
      </c>
      <c r="I364" s="9">
        <v>10.318318</v>
      </c>
      <c r="J364" s="7" t="s">
        <v>47</v>
      </c>
      <c r="K364" s="7" t="s">
        <v>37</v>
      </c>
      <c r="L364" s="7"/>
      <c r="M364" s="10">
        <v>16.440000000000001</v>
      </c>
      <c r="N364" s="7" t="s">
        <v>48</v>
      </c>
      <c r="O364" s="7"/>
      <c r="P364" s="8" t="s">
        <v>39</v>
      </c>
      <c r="Q364">
        <v>6.11</v>
      </c>
      <c r="R364">
        <v>11</v>
      </c>
      <c r="S364" t="s">
        <v>91</v>
      </c>
      <c r="T364">
        <v>16</v>
      </c>
      <c r="U364">
        <f t="shared" si="25"/>
        <v>97.76</v>
      </c>
      <c r="V364">
        <v>1.22</v>
      </c>
      <c r="W364">
        <v>0</v>
      </c>
      <c r="X364">
        <v>0</v>
      </c>
      <c r="Y364">
        <f t="shared" si="26"/>
        <v>0</v>
      </c>
      <c r="Z364">
        <f t="shared" si="27"/>
        <v>119.2672</v>
      </c>
      <c r="AA364">
        <f t="shared" si="28"/>
        <v>119.2672</v>
      </c>
      <c r="AB364">
        <f t="shared" si="29"/>
        <v>1960.7527680000003</v>
      </c>
    </row>
    <row r="365" spans="1:28" ht="25.5" x14ac:dyDescent="0.25">
      <c r="A365" s="7">
        <v>364</v>
      </c>
      <c r="B365" s="7" t="s">
        <v>15</v>
      </c>
      <c r="C365" s="7" t="s">
        <v>49</v>
      </c>
      <c r="D365" s="7" t="s">
        <v>461</v>
      </c>
      <c r="E365" s="7"/>
      <c r="F365" s="8"/>
      <c r="G365" s="7" t="s">
        <v>461</v>
      </c>
      <c r="H365" s="9">
        <v>37.142023999999999</v>
      </c>
      <c r="I365" s="9">
        <v>9.7956020000000006</v>
      </c>
      <c r="J365" s="7" t="s">
        <v>51</v>
      </c>
      <c r="K365" s="7" t="s">
        <v>37</v>
      </c>
      <c r="L365" s="7"/>
      <c r="M365" s="10">
        <v>5.85</v>
      </c>
      <c r="N365" s="7" t="s">
        <v>52</v>
      </c>
      <c r="O365" s="7"/>
      <c r="P365" s="8" t="s">
        <v>39</v>
      </c>
      <c r="Q365">
        <v>3.72</v>
      </c>
      <c r="R365">
        <v>44.5</v>
      </c>
      <c r="S365" t="s">
        <v>40</v>
      </c>
      <c r="T365">
        <v>12</v>
      </c>
      <c r="U365">
        <f t="shared" si="25"/>
        <v>44.64</v>
      </c>
      <c r="V365">
        <v>0.66</v>
      </c>
      <c r="W365">
        <v>160</v>
      </c>
      <c r="X365">
        <v>0.35</v>
      </c>
      <c r="Y365">
        <f t="shared" si="26"/>
        <v>56</v>
      </c>
      <c r="Z365">
        <f t="shared" si="27"/>
        <v>29.462400000000002</v>
      </c>
      <c r="AA365">
        <f t="shared" si="28"/>
        <v>0</v>
      </c>
      <c r="AB365">
        <f t="shared" si="29"/>
        <v>0</v>
      </c>
    </row>
    <row r="366" spans="1:28" ht="25.5" x14ac:dyDescent="0.25">
      <c r="A366" s="7">
        <v>365</v>
      </c>
      <c r="B366" s="7" t="s">
        <v>15</v>
      </c>
      <c r="C366" s="7" t="s">
        <v>54</v>
      </c>
      <c r="D366" s="7" t="s">
        <v>462</v>
      </c>
      <c r="E366" s="7"/>
      <c r="F366" s="8"/>
      <c r="G366" s="7" t="s">
        <v>462</v>
      </c>
      <c r="H366" s="9">
        <v>33.624606</v>
      </c>
      <c r="I366" s="9">
        <v>10.300663</v>
      </c>
      <c r="J366" s="7" t="s">
        <v>56</v>
      </c>
      <c r="K366" s="7" t="s">
        <v>37</v>
      </c>
      <c r="L366" s="7"/>
      <c r="M366" s="10">
        <v>3.24</v>
      </c>
      <c r="N366" s="7" t="s">
        <v>57</v>
      </c>
      <c r="O366" s="7"/>
      <c r="P366" s="8" t="s">
        <v>39</v>
      </c>
      <c r="Q366">
        <v>4.1900000000000004</v>
      </c>
      <c r="R366">
        <v>27.1</v>
      </c>
      <c r="S366" t="s">
        <v>58</v>
      </c>
      <c r="T366">
        <v>8</v>
      </c>
      <c r="U366">
        <f t="shared" si="25"/>
        <v>33.520000000000003</v>
      </c>
      <c r="V366">
        <v>1.08</v>
      </c>
      <c r="W366">
        <v>0</v>
      </c>
      <c r="X366">
        <v>0</v>
      </c>
      <c r="Y366">
        <f t="shared" si="26"/>
        <v>0</v>
      </c>
      <c r="Z366">
        <f t="shared" si="27"/>
        <v>36.201600000000006</v>
      </c>
      <c r="AA366">
        <f t="shared" si="28"/>
        <v>36.201600000000006</v>
      </c>
      <c r="AB366">
        <f t="shared" si="29"/>
        <v>117.29318400000002</v>
      </c>
    </row>
    <row r="367" spans="1:28" ht="25.5" x14ac:dyDescent="0.25">
      <c r="A367" s="7">
        <v>366</v>
      </c>
      <c r="B367" s="7" t="s">
        <v>15</v>
      </c>
      <c r="C367" s="7" t="s">
        <v>59</v>
      </c>
      <c r="D367" s="7" t="s">
        <v>463</v>
      </c>
      <c r="E367" s="7"/>
      <c r="F367" s="8"/>
      <c r="G367" s="7" t="s">
        <v>463</v>
      </c>
      <c r="H367" s="9">
        <v>34.330449999999999</v>
      </c>
      <c r="I367" s="9">
        <v>8.4022079999999999</v>
      </c>
      <c r="J367" s="7" t="s">
        <v>61</v>
      </c>
      <c r="K367" s="7" t="s">
        <v>37</v>
      </c>
      <c r="L367" s="7"/>
      <c r="M367" s="10">
        <v>8.0500000000000007</v>
      </c>
      <c r="N367" s="7" t="s">
        <v>62</v>
      </c>
      <c r="O367" s="7"/>
      <c r="P367" s="8" t="s">
        <v>39</v>
      </c>
      <c r="Q367">
        <v>3.85</v>
      </c>
      <c r="R367">
        <v>17.399999999999999</v>
      </c>
      <c r="S367" t="s">
        <v>53</v>
      </c>
      <c r="T367">
        <v>7</v>
      </c>
      <c r="U367">
        <f t="shared" si="25"/>
        <v>26.95</v>
      </c>
      <c r="V367">
        <v>1.26</v>
      </c>
      <c r="W367">
        <v>0</v>
      </c>
      <c r="X367">
        <v>0</v>
      </c>
      <c r="Y367">
        <f t="shared" si="26"/>
        <v>0</v>
      </c>
      <c r="Z367">
        <f t="shared" si="27"/>
        <v>33.957000000000001</v>
      </c>
      <c r="AA367">
        <f t="shared" si="28"/>
        <v>33.957000000000001</v>
      </c>
      <c r="AB367">
        <f t="shared" si="29"/>
        <v>273.35385000000002</v>
      </c>
    </row>
    <row r="368" spans="1:28" ht="25.5" x14ac:dyDescent="0.25">
      <c r="A368" s="7">
        <v>367</v>
      </c>
      <c r="B368" s="7" t="s">
        <v>15</v>
      </c>
      <c r="C368" s="7" t="s">
        <v>63</v>
      </c>
      <c r="D368" s="7" t="s">
        <v>464</v>
      </c>
      <c r="E368" s="7"/>
      <c r="F368" s="8"/>
      <c r="G368" s="7" t="s">
        <v>464</v>
      </c>
      <c r="H368" s="9">
        <v>36.949840000000002</v>
      </c>
      <c r="I368" s="9">
        <v>8.7549969999999995</v>
      </c>
      <c r="J368" s="7" t="s">
        <v>65</v>
      </c>
      <c r="K368" s="7" t="s">
        <v>37</v>
      </c>
      <c r="L368" s="7"/>
      <c r="M368" s="10">
        <v>11.63</v>
      </c>
      <c r="N368" s="7" t="s">
        <v>66</v>
      </c>
      <c r="O368" s="7"/>
      <c r="P368" s="8" t="s">
        <v>39</v>
      </c>
      <c r="Q368">
        <v>2.86</v>
      </c>
      <c r="R368">
        <v>11.1</v>
      </c>
      <c r="S368" t="s">
        <v>91</v>
      </c>
      <c r="T368">
        <v>10</v>
      </c>
      <c r="U368">
        <f t="shared" si="25"/>
        <v>28.599999999999998</v>
      </c>
      <c r="V368">
        <v>1.08</v>
      </c>
      <c r="W368">
        <v>160</v>
      </c>
      <c r="X368">
        <v>0.35</v>
      </c>
      <c r="Y368">
        <f t="shared" si="26"/>
        <v>56</v>
      </c>
      <c r="Z368">
        <f t="shared" si="27"/>
        <v>30.887999999999998</v>
      </c>
      <c r="AA368">
        <f t="shared" si="28"/>
        <v>0</v>
      </c>
      <c r="AB368">
        <f t="shared" si="29"/>
        <v>0</v>
      </c>
    </row>
    <row r="369" spans="1:28" ht="25.5" x14ac:dyDescent="0.25">
      <c r="A369" s="7">
        <v>368</v>
      </c>
      <c r="B369" s="7" t="s">
        <v>15</v>
      </c>
      <c r="C369" s="7" t="s">
        <v>67</v>
      </c>
      <c r="D369" s="7" t="s">
        <v>465</v>
      </c>
      <c r="E369" s="7"/>
      <c r="F369" s="8"/>
      <c r="G369" s="7" t="s">
        <v>465</v>
      </c>
      <c r="H369" s="9">
        <v>35.596260000000001</v>
      </c>
      <c r="I369" s="9">
        <v>9.9329149999999995</v>
      </c>
      <c r="J369" s="7" t="s">
        <v>69</v>
      </c>
      <c r="K369" s="7" t="s">
        <v>37</v>
      </c>
      <c r="L369" s="7"/>
      <c r="M369" s="10">
        <v>7.64</v>
      </c>
      <c r="N369" s="7" t="s">
        <v>70</v>
      </c>
      <c r="O369" s="7"/>
      <c r="P369" s="8" t="s">
        <v>39</v>
      </c>
      <c r="Q369">
        <v>7.17</v>
      </c>
      <c r="R369">
        <v>35.9</v>
      </c>
      <c r="S369" t="s">
        <v>40</v>
      </c>
      <c r="T369">
        <v>9</v>
      </c>
      <c r="U369">
        <f t="shared" si="25"/>
        <v>64.53</v>
      </c>
      <c r="V369">
        <v>0.54</v>
      </c>
      <c r="W369">
        <v>0</v>
      </c>
      <c r="X369">
        <v>0</v>
      </c>
      <c r="Y369">
        <f t="shared" si="26"/>
        <v>0</v>
      </c>
      <c r="Z369">
        <f t="shared" si="27"/>
        <v>34.846200000000003</v>
      </c>
      <c r="AA369">
        <f t="shared" si="28"/>
        <v>34.846200000000003</v>
      </c>
      <c r="AB369">
        <f t="shared" si="29"/>
        <v>266.22496799999999</v>
      </c>
    </row>
    <row r="370" spans="1:28" ht="25.5" x14ac:dyDescent="0.25">
      <c r="A370" s="7">
        <v>369</v>
      </c>
      <c r="B370" s="7" t="s">
        <v>15</v>
      </c>
      <c r="C370" s="7" t="s">
        <v>71</v>
      </c>
      <c r="D370" s="7" t="s">
        <v>466</v>
      </c>
      <c r="E370" s="7"/>
      <c r="F370" s="8"/>
      <c r="G370" s="7" t="s">
        <v>466</v>
      </c>
      <c r="H370" s="9">
        <v>35.237302999999997</v>
      </c>
      <c r="I370" s="9">
        <v>9.0962180000000004</v>
      </c>
      <c r="J370" s="7" t="s">
        <v>73</v>
      </c>
      <c r="K370" s="7" t="s">
        <v>37</v>
      </c>
      <c r="L370" s="7"/>
      <c r="M370" s="10">
        <v>22.54</v>
      </c>
      <c r="N370" s="7" t="s">
        <v>74</v>
      </c>
      <c r="O370" s="7"/>
      <c r="P370" s="8" t="s">
        <v>39</v>
      </c>
      <c r="Q370">
        <v>2.15</v>
      </c>
      <c r="R370">
        <v>23.9</v>
      </c>
      <c r="S370" t="s">
        <v>53</v>
      </c>
      <c r="T370">
        <v>10</v>
      </c>
      <c r="U370">
        <f t="shared" si="25"/>
        <v>21.5</v>
      </c>
      <c r="V370">
        <v>1.03</v>
      </c>
      <c r="W370">
        <v>0</v>
      </c>
      <c r="X370">
        <v>0</v>
      </c>
      <c r="Y370">
        <f t="shared" si="26"/>
        <v>0</v>
      </c>
      <c r="Z370">
        <f t="shared" si="27"/>
        <v>22.145</v>
      </c>
      <c r="AA370">
        <f t="shared" si="28"/>
        <v>22.145</v>
      </c>
      <c r="AB370">
        <f t="shared" si="29"/>
        <v>499.14829999999995</v>
      </c>
    </row>
    <row r="371" spans="1:28" ht="25.5" x14ac:dyDescent="0.25">
      <c r="A371" s="7">
        <v>370</v>
      </c>
      <c r="B371" s="7" t="s">
        <v>15</v>
      </c>
      <c r="C371" s="7" t="s">
        <v>75</v>
      </c>
      <c r="D371" s="7" t="s">
        <v>467</v>
      </c>
      <c r="E371" s="7"/>
      <c r="F371" s="8"/>
      <c r="G371" s="7" t="s">
        <v>467</v>
      </c>
      <c r="H371" s="9">
        <v>33.485723999999998</v>
      </c>
      <c r="I371" s="9">
        <v>9.0217659999999995</v>
      </c>
      <c r="J371" s="7" t="s">
        <v>77</v>
      </c>
      <c r="K371" s="7" t="s">
        <v>37</v>
      </c>
      <c r="L371" s="7"/>
      <c r="M371" s="10">
        <v>23.67</v>
      </c>
      <c r="N371" s="7" t="s">
        <v>78</v>
      </c>
      <c r="O371" s="7"/>
      <c r="P371" s="8" t="s">
        <v>39</v>
      </c>
      <c r="Q371">
        <v>6.67</v>
      </c>
      <c r="R371">
        <v>36</v>
      </c>
      <c r="S371" t="s">
        <v>40</v>
      </c>
      <c r="T371">
        <v>14</v>
      </c>
      <c r="U371">
        <f t="shared" si="25"/>
        <v>93.38</v>
      </c>
      <c r="V371">
        <v>0.6</v>
      </c>
      <c r="W371">
        <v>80</v>
      </c>
      <c r="X371">
        <v>0.35</v>
      </c>
      <c r="Y371">
        <f t="shared" si="26"/>
        <v>28</v>
      </c>
      <c r="Z371">
        <f t="shared" si="27"/>
        <v>56.027999999999999</v>
      </c>
      <c r="AA371">
        <f t="shared" si="28"/>
        <v>28.027999999999999</v>
      </c>
      <c r="AB371">
        <f t="shared" si="29"/>
        <v>663.42276000000004</v>
      </c>
    </row>
    <row r="372" spans="1:28" ht="25.5" x14ac:dyDescent="0.25">
      <c r="A372" s="7">
        <v>371</v>
      </c>
      <c r="B372" s="7" t="s">
        <v>15</v>
      </c>
      <c r="C372" s="7" t="s">
        <v>79</v>
      </c>
      <c r="D372" s="7" t="s">
        <v>468</v>
      </c>
      <c r="E372" s="7"/>
      <c r="F372" s="8"/>
      <c r="G372" s="7" t="s">
        <v>468</v>
      </c>
      <c r="H372" s="9">
        <v>35.935327000000001</v>
      </c>
      <c r="I372" s="9">
        <v>8.8381889999999999</v>
      </c>
      <c r="J372" s="7" t="s">
        <v>81</v>
      </c>
      <c r="K372" s="7" t="s">
        <v>37</v>
      </c>
      <c r="L372" s="7"/>
      <c r="M372" s="10">
        <v>10.1</v>
      </c>
      <c r="N372" s="7" t="s">
        <v>38</v>
      </c>
      <c r="O372" s="7"/>
      <c r="P372" s="8" t="s">
        <v>39</v>
      </c>
      <c r="Q372">
        <v>2.4900000000000002</v>
      </c>
      <c r="R372">
        <v>26.2</v>
      </c>
      <c r="S372" t="s">
        <v>58</v>
      </c>
      <c r="T372">
        <v>18</v>
      </c>
      <c r="U372">
        <f t="shared" si="25"/>
        <v>44.820000000000007</v>
      </c>
      <c r="V372">
        <v>0.9</v>
      </c>
      <c r="W372">
        <v>120</v>
      </c>
      <c r="X372">
        <v>0.35</v>
      </c>
      <c r="Y372">
        <f t="shared" si="26"/>
        <v>42</v>
      </c>
      <c r="Z372">
        <f t="shared" si="27"/>
        <v>40.338000000000008</v>
      </c>
      <c r="AA372">
        <f t="shared" si="28"/>
        <v>0</v>
      </c>
      <c r="AB372">
        <f t="shared" si="29"/>
        <v>0</v>
      </c>
    </row>
    <row r="373" spans="1:28" ht="25.5" x14ac:dyDescent="0.25">
      <c r="A373" s="7">
        <v>372</v>
      </c>
      <c r="B373" s="7" t="s">
        <v>15</v>
      </c>
      <c r="C373" s="7" t="s">
        <v>82</v>
      </c>
      <c r="D373" s="7" t="s">
        <v>469</v>
      </c>
      <c r="E373" s="7"/>
      <c r="F373" s="8"/>
      <c r="G373" s="7" t="s">
        <v>469</v>
      </c>
      <c r="H373" s="9">
        <v>35.250511000000003</v>
      </c>
      <c r="I373" s="9">
        <v>11.105637</v>
      </c>
      <c r="J373" s="7" t="s">
        <v>84</v>
      </c>
      <c r="K373" s="7" t="s">
        <v>37</v>
      </c>
      <c r="L373" s="7"/>
      <c r="M373" s="10">
        <v>7.44</v>
      </c>
      <c r="N373" s="7" t="s">
        <v>44</v>
      </c>
      <c r="O373" s="7"/>
      <c r="P373" s="8" t="s">
        <v>39</v>
      </c>
      <c r="Q373">
        <v>2.58</v>
      </c>
      <c r="R373">
        <v>11.6</v>
      </c>
      <c r="S373" t="s">
        <v>91</v>
      </c>
      <c r="T373">
        <v>18</v>
      </c>
      <c r="U373">
        <f t="shared" si="25"/>
        <v>46.44</v>
      </c>
      <c r="V373">
        <v>1.35</v>
      </c>
      <c r="W373">
        <v>0</v>
      </c>
      <c r="X373">
        <v>0</v>
      </c>
      <c r="Y373">
        <f t="shared" si="26"/>
        <v>0</v>
      </c>
      <c r="Z373">
        <f t="shared" si="27"/>
        <v>62.694000000000003</v>
      </c>
      <c r="AA373">
        <f t="shared" si="28"/>
        <v>62.694000000000003</v>
      </c>
      <c r="AB373">
        <f t="shared" si="29"/>
        <v>466.44336000000004</v>
      </c>
    </row>
    <row r="374" spans="1:28" ht="25.5" x14ac:dyDescent="0.25">
      <c r="A374" s="7">
        <v>373</v>
      </c>
      <c r="B374" s="7" t="s">
        <v>15</v>
      </c>
      <c r="C374" s="7" t="s">
        <v>85</v>
      </c>
      <c r="D374" s="7" t="s">
        <v>470</v>
      </c>
      <c r="E374" s="7"/>
      <c r="F374" s="8"/>
      <c r="G374" s="7" t="s">
        <v>470</v>
      </c>
      <c r="H374" s="9">
        <v>36.823816999999998</v>
      </c>
      <c r="I374" s="9">
        <v>9.8453470000000003</v>
      </c>
      <c r="J374" s="7" t="s">
        <v>87</v>
      </c>
      <c r="K374" s="7" t="s">
        <v>37</v>
      </c>
      <c r="L374" s="7"/>
      <c r="M374" s="10">
        <v>20.27</v>
      </c>
      <c r="N374" s="7" t="s">
        <v>48</v>
      </c>
      <c r="O374" s="7"/>
      <c r="P374" s="8" t="s">
        <v>39</v>
      </c>
      <c r="Q374">
        <v>7.44</v>
      </c>
      <c r="R374">
        <v>34.1</v>
      </c>
      <c r="S374" t="s">
        <v>58</v>
      </c>
      <c r="T374">
        <v>16</v>
      </c>
      <c r="U374">
        <f t="shared" si="25"/>
        <v>119.04</v>
      </c>
      <c r="V374">
        <v>0.81</v>
      </c>
      <c r="W374">
        <v>0</v>
      </c>
      <c r="X374">
        <v>0</v>
      </c>
      <c r="Y374">
        <f t="shared" si="26"/>
        <v>0</v>
      </c>
      <c r="Z374">
        <f t="shared" si="27"/>
        <v>96.42240000000001</v>
      </c>
      <c r="AA374">
        <f t="shared" si="28"/>
        <v>96.42240000000001</v>
      </c>
      <c r="AB374">
        <f t="shared" si="29"/>
        <v>1954.4820480000001</v>
      </c>
    </row>
    <row r="375" spans="1:28" ht="25.5" x14ac:dyDescent="0.25">
      <c r="A375" s="7">
        <v>374</v>
      </c>
      <c r="B375" s="7" t="s">
        <v>15</v>
      </c>
      <c r="C375" s="7" t="s">
        <v>88</v>
      </c>
      <c r="D375" s="7" t="s">
        <v>471</v>
      </c>
      <c r="E375" s="7"/>
      <c r="F375" s="8"/>
      <c r="G375" s="7" t="s">
        <v>471</v>
      </c>
      <c r="H375" s="9">
        <v>33.777318000000001</v>
      </c>
      <c r="I375" s="9">
        <v>10.975103000000001</v>
      </c>
      <c r="J375" s="7" t="s">
        <v>90</v>
      </c>
      <c r="K375" s="7" t="s">
        <v>37</v>
      </c>
      <c r="L375" s="7"/>
      <c r="M375" s="10">
        <v>9.23</v>
      </c>
      <c r="N375" s="7" t="s">
        <v>52</v>
      </c>
      <c r="O375" s="7"/>
      <c r="P375" s="8" t="s">
        <v>39</v>
      </c>
      <c r="Q375">
        <v>5.15</v>
      </c>
      <c r="R375">
        <v>44.3</v>
      </c>
      <c r="S375" t="s">
        <v>40</v>
      </c>
      <c r="T375">
        <v>12</v>
      </c>
      <c r="U375">
        <f t="shared" si="25"/>
        <v>61.800000000000004</v>
      </c>
      <c r="V375">
        <v>0.66</v>
      </c>
      <c r="W375">
        <v>80</v>
      </c>
      <c r="X375">
        <v>0.35</v>
      </c>
      <c r="Y375">
        <f t="shared" si="26"/>
        <v>28</v>
      </c>
      <c r="Z375">
        <f t="shared" si="27"/>
        <v>40.788000000000004</v>
      </c>
      <c r="AA375">
        <f t="shared" si="28"/>
        <v>12.788000000000004</v>
      </c>
      <c r="AB375">
        <f t="shared" si="29"/>
        <v>118.03324000000003</v>
      </c>
    </row>
    <row r="376" spans="1:28" ht="25.5" x14ac:dyDescent="0.25">
      <c r="A376" s="7">
        <v>375</v>
      </c>
      <c r="B376" s="7" t="s">
        <v>15</v>
      </c>
      <c r="C376" s="7" t="s">
        <v>92</v>
      </c>
      <c r="D376" s="7" t="s">
        <v>472</v>
      </c>
      <c r="E376" s="7"/>
      <c r="F376" s="8"/>
      <c r="G376" s="7" t="s">
        <v>472</v>
      </c>
      <c r="H376" s="9">
        <v>35.598886</v>
      </c>
      <c r="I376" s="9">
        <v>10.741553</v>
      </c>
      <c r="J376" s="7" t="s">
        <v>94</v>
      </c>
      <c r="K376" s="7" t="s">
        <v>37</v>
      </c>
      <c r="L376" s="7"/>
      <c r="M376" s="10">
        <v>23</v>
      </c>
      <c r="N376" s="7" t="s">
        <v>57</v>
      </c>
      <c r="O376" s="7"/>
      <c r="P376" s="8" t="s">
        <v>39</v>
      </c>
      <c r="Q376">
        <v>2.42</v>
      </c>
      <c r="R376">
        <v>19.600000000000001</v>
      </c>
      <c r="S376" t="s">
        <v>53</v>
      </c>
      <c r="T376">
        <v>8</v>
      </c>
      <c r="U376">
        <f t="shared" si="25"/>
        <v>19.36</v>
      </c>
      <c r="V376">
        <v>1.38</v>
      </c>
      <c r="W376">
        <v>80</v>
      </c>
      <c r="X376">
        <v>0.35</v>
      </c>
      <c r="Y376">
        <f t="shared" si="26"/>
        <v>28</v>
      </c>
      <c r="Z376">
        <f t="shared" si="27"/>
        <v>26.716799999999996</v>
      </c>
      <c r="AA376">
        <f t="shared" si="28"/>
        <v>0</v>
      </c>
      <c r="AB376">
        <f t="shared" si="29"/>
        <v>0</v>
      </c>
    </row>
    <row r="377" spans="1:28" ht="25.5" x14ac:dyDescent="0.25">
      <c r="A377" s="7">
        <v>376</v>
      </c>
      <c r="B377" s="7" t="s">
        <v>15</v>
      </c>
      <c r="C377" s="7" t="s">
        <v>95</v>
      </c>
      <c r="D377" s="7" t="s">
        <v>473</v>
      </c>
      <c r="E377" s="7"/>
      <c r="F377" s="8"/>
      <c r="G377" s="7" t="s">
        <v>473</v>
      </c>
      <c r="H377" s="9">
        <v>36.551496</v>
      </c>
      <c r="I377" s="9">
        <v>10.865516</v>
      </c>
      <c r="J377" s="7" t="s">
        <v>97</v>
      </c>
      <c r="K377" s="7" t="s">
        <v>37</v>
      </c>
      <c r="L377" s="7"/>
      <c r="M377" s="10">
        <v>3.89</v>
      </c>
      <c r="N377" s="7" t="s">
        <v>62</v>
      </c>
      <c r="O377" s="7"/>
      <c r="P377" s="8" t="s">
        <v>39</v>
      </c>
      <c r="Q377">
        <v>4.37</v>
      </c>
      <c r="R377">
        <v>16.100000000000001</v>
      </c>
      <c r="S377" t="s">
        <v>53</v>
      </c>
      <c r="T377">
        <v>7</v>
      </c>
      <c r="U377">
        <f t="shared" si="25"/>
        <v>30.59</v>
      </c>
      <c r="V377">
        <v>1.26</v>
      </c>
      <c r="W377">
        <v>0</v>
      </c>
      <c r="X377">
        <v>0</v>
      </c>
      <c r="Y377">
        <f t="shared" si="26"/>
        <v>0</v>
      </c>
      <c r="Z377">
        <f t="shared" si="27"/>
        <v>38.543399999999998</v>
      </c>
      <c r="AA377">
        <f t="shared" si="28"/>
        <v>38.543399999999998</v>
      </c>
      <c r="AB377">
        <f t="shared" si="29"/>
        <v>149.93382600000001</v>
      </c>
    </row>
    <row r="378" spans="1:28" ht="25.5" x14ac:dyDescent="0.25">
      <c r="A378" s="7">
        <v>377</v>
      </c>
      <c r="B378" s="7" t="s">
        <v>15</v>
      </c>
      <c r="C378" s="7" t="s">
        <v>98</v>
      </c>
      <c r="D378" s="7" t="s">
        <v>474</v>
      </c>
      <c r="E378" s="7"/>
      <c r="F378" s="8"/>
      <c r="G378" s="7" t="s">
        <v>474</v>
      </c>
      <c r="H378" s="9">
        <v>34.756512000000001</v>
      </c>
      <c r="I378" s="9">
        <v>10.523291</v>
      </c>
      <c r="J378" s="7" t="s">
        <v>100</v>
      </c>
      <c r="K378" s="7" t="s">
        <v>37</v>
      </c>
      <c r="L378" s="7"/>
      <c r="M378" s="10">
        <v>12.3</v>
      </c>
      <c r="N378" s="7" t="s">
        <v>66</v>
      </c>
      <c r="O378" s="7"/>
      <c r="P378" s="8" t="s">
        <v>39</v>
      </c>
      <c r="Q378">
        <v>6.24</v>
      </c>
      <c r="R378">
        <v>34.1</v>
      </c>
      <c r="S378" t="s">
        <v>58</v>
      </c>
      <c r="T378">
        <v>10</v>
      </c>
      <c r="U378">
        <f t="shared" si="25"/>
        <v>62.400000000000006</v>
      </c>
      <c r="V378">
        <v>0.72</v>
      </c>
      <c r="W378">
        <v>160</v>
      </c>
      <c r="X378">
        <v>0.35</v>
      </c>
      <c r="Y378">
        <f t="shared" si="26"/>
        <v>56</v>
      </c>
      <c r="Z378">
        <f t="shared" si="27"/>
        <v>44.928000000000004</v>
      </c>
      <c r="AA378">
        <f t="shared" si="28"/>
        <v>0</v>
      </c>
      <c r="AB378">
        <f t="shared" si="29"/>
        <v>0</v>
      </c>
    </row>
    <row r="379" spans="1:28" ht="25.5" x14ac:dyDescent="0.25">
      <c r="A379" s="7">
        <v>378</v>
      </c>
      <c r="B379" s="7" t="s">
        <v>15</v>
      </c>
      <c r="C379" s="7" t="s">
        <v>101</v>
      </c>
      <c r="D379" s="7" t="s">
        <v>475</v>
      </c>
      <c r="E379" s="7"/>
      <c r="F379" s="8"/>
      <c r="G379" s="7" t="s">
        <v>475</v>
      </c>
      <c r="H379" s="9">
        <v>34.938180000000003</v>
      </c>
      <c r="I379" s="9">
        <v>9.7696710000000007</v>
      </c>
      <c r="J379" s="7" t="s">
        <v>103</v>
      </c>
      <c r="K379" s="7" t="s">
        <v>37</v>
      </c>
      <c r="L379" s="7"/>
      <c r="M379" s="10">
        <v>23.81</v>
      </c>
      <c r="N379" s="7" t="s">
        <v>70</v>
      </c>
      <c r="O379" s="7"/>
      <c r="P379" s="8" t="s">
        <v>39</v>
      </c>
      <c r="Q379">
        <v>4.63</v>
      </c>
      <c r="R379">
        <v>41.2</v>
      </c>
      <c r="S379" t="s">
        <v>40</v>
      </c>
      <c r="T379">
        <v>9</v>
      </c>
      <c r="U379">
        <f t="shared" si="25"/>
        <v>41.67</v>
      </c>
      <c r="V379">
        <v>0.54</v>
      </c>
      <c r="W379">
        <v>50</v>
      </c>
      <c r="X379">
        <v>0.35</v>
      </c>
      <c r="Y379">
        <f t="shared" si="26"/>
        <v>17.5</v>
      </c>
      <c r="Z379">
        <f t="shared" si="27"/>
        <v>22.501800000000003</v>
      </c>
      <c r="AA379">
        <f t="shared" si="28"/>
        <v>5.0018000000000029</v>
      </c>
      <c r="AB379">
        <f t="shared" si="29"/>
        <v>119.09285800000006</v>
      </c>
    </row>
    <row r="380" spans="1:28" ht="25.5" x14ac:dyDescent="0.25">
      <c r="A380" s="7">
        <v>379</v>
      </c>
      <c r="B380" s="7" t="s">
        <v>15</v>
      </c>
      <c r="C380" s="7" t="s">
        <v>104</v>
      </c>
      <c r="D380" s="7" t="s">
        <v>476</v>
      </c>
      <c r="E380" s="7"/>
      <c r="F380" s="8"/>
      <c r="G380" s="7" t="s">
        <v>476</v>
      </c>
      <c r="H380" s="9">
        <v>35.842889999999997</v>
      </c>
      <c r="I380" s="9">
        <v>9.1996099999999998</v>
      </c>
      <c r="J380" s="7" t="s">
        <v>106</v>
      </c>
      <c r="K380" s="7" t="s">
        <v>37</v>
      </c>
      <c r="L380" s="7"/>
      <c r="M380" s="10">
        <v>13.85</v>
      </c>
      <c r="N380" s="7" t="s">
        <v>74</v>
      </c>
      <c r="O380" s="7"/>
      <c r="P380" s="8" t="s">
        <v>39</v>
      </c>
      <c r="Q380">
        <v>7.03</v>
      </c>
      <c r="R380">
        <v>16.600000000000001</v>
      </c>
      <c r="S380" t="s">
        <v>53</v>
      </c>
      <c r="T380">
        <v>10</v>
      </c>
      <c r="U380">
        <f t="shared" si="25"/>
        <v>70.3</v>
      </c>
      <c r="V380">
        <v>1.03</v>
      </c>
      <c r="W380">
        <v>80</v>
      </c>
      <c r="X380">
        <v>0.35</v>
      </c>
      <c r="Y380">
        <f t="shared" si="26"/>
        <v>28</v>
      </c>
      <c r="Z380">
        <f t="shared" si="27"/>
        <v>72.409000000000006</v>
      </c>
      <c r="AA380">
        <f t="shared" si="28"/>
        <v>44.409000000000006</v>
      </c>
      <c r="AB380">
        <f t="shared" si="29"/>
        <v>615.06465000000003</v>
      </c>
    </row>
    <row r="381" spans="1:28" ht="25.5" x14ac:dyDescent="0.25">
      <c r="A381" s="7">
        <v>380</v>
      </c>
      <c r="B381" s="7" t="s">
        <v>15</v>
      </c>
      <c r="C381" s="7" t="s">
        <v>107</v>
      </c>
      <c r="D381" s="7" t="s">
        <v>477</v>
      </c>
      <c r="E381" s="7"/>
      <c r="F381" s="8"/>
      <c r="G381" s="7" t="s">
        <v>477</v>
      </c>
      <c r="H381" s="9">
        <v>36.157772999999999</v>
      </c>
      <c r="I381" s="9">
        <v>10.392352000000001</v>
      </c>
      <c r="J381" s="7" t="s">
        <v>109</v>
      </c>
      <c r="K381" s="7" t="s">
        <v>37</v>
      </c>
      <c r="L381" s="7"/>
      <c r="M381" s="10">
        <v>22.78</v>
      </c>
      <c r="N381" s="7" t="s">
        <v>78</v>
      </c>
      <c r="O381" s="7"/>
      <c r="P381" s="8" t="s">
        <v>39</v>
      </c>
      <c r="Q381">
        <v>2.29</v>
      </c>
      <c r="R381">
        <v>14.7</v>
      </c>
      <c r="S381" t="s">
        <v>91</v>
      </c>
      <c r="T381">
        <v>14</v>
      </c>
      <c r="U381">
        <f t="shared" si="25"/>
        <v>32.06</v>
      </c>
      <c r="V381">
        <v>1.35</v>
      </c>
      <c r="W381">
        <v>0</v>
      </c>
      <c r="X381">
        <v>0</v>
      </c>
      <c r="Y381">
        <f t="shared" si="26"/>
        <v>0</v>
      </c>
      <c r="Z381">
        <f t="shared" si="27"/>
        <v>43.281000000000006</v>
      </c>
      <c r="AA381">
        <f t="shared" si="28"/>
        <v>43.281000000000006</v>
      </c>
      <c r="AB381">
        <f t="shared" si="29"/>
        <v>985.94118000000014</v>
      </c>
    </row>
    <row r="382" spans="1:28" ht="25.5" x14ac:dyDescent="0.25">
      <c r="A382" s="7">
        <v>381</v>
      </c>
      <c r="B382" s="7" t="s">
        <v>15</v>
      </c>
      <c r="C382" s="7" t="s">
        <v>110</v>
      </c>
      <c r="D382" s="7" t="s">
        <v>478</v>
      </c>
      <c r="E382" s="7"/>
      <c r="F382" s="8"/>
      <c r="G382" s="7" t="s">
        <v>478</v>
      </c>
      <c r="H382" s="9">
        <v>33.143383</v>
      </c>
      <c r="I382" s="9">
        <v>10.231624</v>
      </c>
      <c r="J382" s="7" t="s">
        <v>112</v>
      </c>
      <c r="K382" s="7" t="s">
        <v>37</v>
      </c>
      <c r="L382" s="7"/>
      <c r="M382" s="10">
        <v>24.88</v>
      </c>
      <c r="N382" s="7" t="s">
        <v>38</v>
      </c>
      <c r="O382" s="7"/>
      <c r="P382" s="8" t="s">
        <v>39</v>
      </c>
      <c r="Q382">
        <v>3.83</v>
      </c>
      <c r="R382">
        <v>29.8</v>
      </c>
      <c r="S382" t="s">
        <v>58</v>
      </c>
      <c r="T382">
        <v>18</v>
      </c>
      <c r="U382">
        <f t="shared" si="25"/>
        <v>68.94</v>
      </c>
      <c r="V382">
        <v>0.9</v>
      </c>
      <c r="W382">
        <v>50</v>
      </c>
      <c r="X382">
        <v>0.35</v>
      </c>
      <c r="Y382">
        <f t="shared" si="26"/>
        <v>17.5</v>
      </c>
      <c r="Z382">
        <f t="shared" si="27"/>
        <v>62.045999999999999</v>
      </c>
      <c r="AA382">
        <f t="shared" si="28"/>
        <v>44.545999999999999</v>
      </c>
      <c r="AB382">
        <f t="shared" si="29"/>
        <v>1108.30448</v>
      </c>
    </row>
    <row r="383" spans="1:28" ht="25.5" x14ac:dyDescent="0.25">
      <c r="A383" s="7">
        <v>382</v>
      </c>
      <c r="B383" s="7" t="s">
        <v>15</v>
      </c>
      <c r="C383" s="7" t="s">
        <v>113</v>
      </c>
      <c r="D383" s="7" t="s">
        <v>479</v>
      </c>
      <c r="E383" s="7"/>
      <c r="F383" s="8"/>
      <c r="G383" s="7" t="s">
        <v>479</v>
      </c>
      <c r="H383" s="9">
        <v>33.890701999999997</v>
      </c>
      <c r="I383" s="9">
        <v>7.8735650000000001</v>
      </c>
      <c r="J383" s="7" t="s">
        <v>115</v>
      </c>
      <c r="K383" s="7" t="s">
        <v>37</v>
      </c>
      <c r="L383" s="7"/>
      <c r="M383" s="10">
        <v>13.68</v>
      </c>
      <c r="N383" s="7" t="s">
        <v>44</v>
      </c>
      <c r="O383" s="7"/>
      <c r="P383" s="8" t="s">
        <v>39</v>
      </c>
      <c r="Q383">
        <v>3.41</v>
      </c>
      <c r="R383">
        <v>44.7</v>
      </c>
      <c r="S383" t="s">
        <v>40</v>
      </c>
      <c r="T383">
        <v>18</v>
      </c>
      <c r="U383">
        <f t="shared" si="25"/>
        <v>61.38</v>
      </c>
      <c r="V383">
        <v>0.6</v>
      </c>
      <c r="W383">
        <v>0</v>
      </c>
      <c r="X383">
        <v>0</v>
      </c>
      <c r="Y383">
        <f t="shared" si="26"/>
        <v>0</v>
      </c>
      <c r="Z383">
        <f t="shared" si="27"/>
        <v>36.828000000000003</v>
      </c>
      <c r="AA383">
        <f t="shared" si="28"/>
        <v>36.828000000000003</v>
      </c>
      <c r="AB383">
        <f t="shared" si="29"/>
        <v>503.80704000000003</v>
      </c>
    </row>
    <row r="384" spans="1:28" ht="25.5" x14ac:dyDescent="0.25">
      <c r="A384" s="7">
        <v>383</v>
      </c>
      <c r="B384" s="7" t="s">
        <v>15</v>
      </c>
      <c r="C384" s="7" t="s">
        <v>116</v>
      </c>
      <c r="D384" s="7" t="s">
        <v>480</v>
      </c>
      <c r="E384" s="7"/>
      <c r="F384" s="8"/>
      <c r="G384" s="7" t="s">
        <v>480</v>
      </c>
      <c r="H384" s="9">
        <v>36.871538999999999</v>
      </c>
      <c r="I384" s="9">
        <v>10.306471999999999</v>
      </c>
      <c r="J384" s="7" t="s">
        <v>118</v>
      </c>
      <c r="K384" s="7" t="s">
        <v>37</v>
      </c>
      <c r="L384" s="7"/>
      <c r="M384" s="10">
        <v>24.55</v>
      </c>
      <c r="N384" s="7" t="s">
        <v>48</v>
      </c>
      <c r="O384" s="7"/>
      <c r="P384" s="8" t="s">
        <v>39</v>
      </c>
      <c r="Q384">
        <v>2.0299999999999998</v>
      </c>
      <c r="R384">
        <v>14</v>
      </c>
      <c r="S384" t="s">
        <v>91</v>
      </c>
      <c r="T384">
        <v>16</v>
      </c>
      <c r="U384">
        <f t="shared" si="25"/>
        <v>32.479999999999997</v>
      </c>
      <c r="V384">
        <v>1.22</v>
      </c>
      <c r="W384">
        <v>0</v>
      </c>
      <c r="X384">
        <v>0</v>
      </c>
      <c r="Y384">
        <f t="shared" si="26"/>
        <v>0</v>
      </c>
      <c r="Z384">
        <f t="shared" si="27"/>
        <v>39.625599999999999</v>
      </c>
      <c r="AA384">
        <f t="shared" si="28"/>
        <v>39.625599999999999</v>
      </c>
      <c r="AB384">
        <f t="shared" si="29"/>
        <v>972.80848000000003</v>
      </c>
    </row>
    <row r="385" spans="1:28" ht="25.5" x14ac:dyDescent="0.25">
      <c r="A385" s="7">
        <v>384</v>
      </c>
      <c r="B385" s="7" t="s">
        <v>15</v>
      </c>
      <c r="C385" s="7" t="s">
        <v>119</v>
      </c>
      <c r="D385" s="7" t="s">
        <v>481</v>
      </c>
      <c r="E385" s="7"/>
      <c r="F385" s="8"/>
      <c r="G385" s="7" t="s">
        <v>481</v>
      </c>
      <c r="H385" s="9">
        <v>36.371847000000002</v>
      </c>
      <c r="I385" s="9">
        <v>9.6131460000000004</v>
      </c>
      <c r="J385" s="7" t="s">
        <v>121</v>
      </c>
      <c r="K385" s="7" t="s">
        <v>37</v>
      </c>
      <c r="L385" s="7"/>
      <c r="M385" s="10">
        <v>13.02</v>
      </c>
      <c r="N385" s="7" t="s">
        <v>52</v>
      </c>
      <c r="O385" s="7"/>
      <c r="P385" s="8" t="s">
        <v>39</v>
      </c>
      <c r="Q385">
        <v>6.53</v>
      </c>
      <c r="R385">
        <v>13.5</v>
      </c>
      <c r="S385" t="s">
        <v>91</v>
      </c>
      <c r="T385">
        <v>12</v>
      </c>
      <c r="U385">
        <f t="shared" si="25"/>
        <v>78.36</v>
      </c>
      <c r="V385">
        <v>1.49</v>
      </c>
      <c r="W385">
        <v>160</v>
      </c>
      <c r="X385">
        <v>0.35</v>
      </c>
      <c r="Y385">
        <f t="shared" si="26"/>
        <v>56</v>
      </c>
      <c r="Z385">
        <f t="shared" si="27"/>
        <v>116.7564</v>
      </c>
      <c r="AA385">
        <f t="shared" si="28"/>
        <v>60.756399999999999</v>
      </c>
      <c r="AB385">
        <f t="shared" si="29"/>
        <v>791.04832799999997</v>
      </c>
    </row>
    <row r="386" spans="1:28" ht="25.5" x14ac:dyDescent="0.25">
      <c r="A386" s="7">
        <v>385</v>
      </c>
      <c r="B386" s="7" t="s">
        <v>15</v>
      </c>
      <c r="C386" s="7" t="s">
        <v>34</v>
      </c>
      <c r="D386" s="7" t="s">
        <v>482</v>
      </c>
      <c r="E386" s="7"/>
      <c r="F386" s="8"/>
      <c r="G386" s="7" t="s">
        <v>482</v>
      </c>
      <c r="H386" s="9">
        <v>36.874271999999998</v>
      </c>
      <c r="I386" s="9">
        <v>10.216867000000001</v>
      </c>
      <c r="J386" s="7" t="s">
        <v>36</v>
      </c>
      <c r="K386" s="7" t="s">
        <v>37</v>
      </c>
      <c r="L386" s="7"/>
      <c r="M386" s="10">
        <v>12.35</v>
      </c>
      <c r="N386" s="7" t="s">
        <v>57</v>
      </c>
      <c r="O386" s="7"/>
      <c r="P386" s="8" t="s">
        <v>39</v>
      </c>
      <c r="Q386">
        <v>5.51</v>
      </c>
      <c r="R386">
        <v>37.299999999999997</v>
      </c>
      <c r="S386" t="s">
        <v>40</v>
      </c>
      <c r="T386">
        <v>8</v>
      </c>
      <c r="U386">
        <f t="shared" ref="U386:U449" si="30">Q386*T386</f>
        <v>44.08</v>
      </c>
      <c r="V386">
        <v>0.72</v>
      </c>
      <c r="W386">
        <v>0</v>
      </c>
      <c r="X386">
        <v>0</v>
      </c>
      <c r="Y386">
        <f t="shared" ref="Y386:Y449" si="31">W386*X386</f>
        <v>0</v>
      </c>
      <c r="Z386">
        <f t="shared" ref="Z386:Z449" si="32">U386*V386</f>
        <v>31.737599999999997</v>
      </c>
      <c r="AA386">
        <f t="shared" ref="AA386:AA449" si="33">MAX(0,Z386-Y386)</f>
        <v>31.737599999999997</v>
      </c>
      <c r="AB386">
        <f t="shared" si="29"/>
        <v>391.95935999999995</v>
      </c>
    </row>
    <row r="387" spans="1:28" ht="25.5" x14ac:dyDescent="0.25">
      <c r="A387" s="7">
        <v>386</v>
      </c>
      <c r="B387" s="7" t="s">
        <v>15</v>
      </c>
      <c r="C387" s="7" t="s">
        <v>41</v>
      </c>
      <c r="D387" s="7" t="s">
        <v>483</v>
      </c>
      <c r="E387" s="7"/>
      <c r="F387" s="8"/>
      <c r="G387" s="7" t="s">
        <v>483</v>
      </c>
      <c r="H387" s="9">
        <v>36.672148</v>
      </c>
      <c r="I387" s="9">
        <v>9.6252610000000001</v>
      </c>
      <c r="J387" s="7" t="s">
        <v>43</v>
      </c>
      <c r="K387" s="7" t="s">
        <v>37</v>
      </c>
      <c r="L387" s="7"/>
      <c r="M387" s="10">
        <v>22.21</v>
      </c>
      <c r="N387" s="7" t="s">
        <v>62</v>
      </c>
      <c r="O387" s="7"/>
      <c r="P387" s="8" t="s">
        <v>39</v>
      </c>
      <c r="Q387">
        <v>3.88</v>
      </c>
      <c r="R387">
        <v>35.200000000000003</v>
      </c>
      <c r="S387" t="s">
        <v>40</v>
      </c>
      <c r="T387">
        <v>7</v>
      </c>
      <c r="U387">
        <f t="shared" si="30"/>
        <v>27.16</v>
      </c>
      <c r="V387">
        <v>0.66</v>
      </c>
      <c r="W387">
        <v>0</v>
      </c>
      <c r="X387">
        <v>0</v>
      </c>
      <c r="Y387">
        <f t="shared" si="31"/>
        <v>0</v>
      </c>
      <c r="Z387">
        <f t="shared" si="32"/>
        <v>17.925599999999999</v>
      </c>
      <c r="AA387">
        <f t="shared" si="33"/>
        <v>17.925599999999999</v>
      </c>
      <c r="AB387">
        <f t="shared" ref="AB387:AB450" si="34">AA387*M387</f>
        <v>398.12757599999998</v>
      </c>
    </row>
    <row r="388" spans="1:28" ht="25.5" x14ac:dyDescent="0.25">
      <c r="A388" s="7">
        <v>387</v>
      </c>
      <c r="B388" s="7" t="s">
        <v>15</v>
      </c>
      <c r="C388" s="7" t="s">
        <v>45</v>
      </c>
      <c r="D388" s="7" t="s">
        <v>484</v>
      </c>
      <c r="E388" s="7"/>
      <c r="F388" s="8"/>
      <c r="G388" s="7" t="s">
        <v>484</v>
      </c>
      <c r="H388" s="9">
        <v>36.612658000000003</v>
      </c>
      <c r="I388" s="9">
        <v>10.327023000000001</v>
      </c>
      <c r="J388" s="7" t="s">
        <v>47</v>
      </c>
      <c r="K388" s="7" t="s">
        <v>37</v>
      </c>
      <c r="L388" s="7"/>
      <c r="M388" s="10">
        <v>24.88</v>
      </c>
      <c r="N388" s="7" t="s">
        <v>66</v>
      </c>
      <c r="O388" s="7"/>
      <c r="P388" s="8" t="s">
        <v>39</v>
      </c>
      <c r="Q388">
        <v>5.37</v>
      </c>
      <c r="R388">
        <v>15.1</v>
      </c>
      <c r="S388" t="s">
        <v>53</v>
      </c>
      <c r="T388">
        <v>10</v>
      </c>
      <c r="U388">
        <f t="shared" si="30"/>
        <v>53.7</v>
      </c>
      <c r="V388">
        <v>0.92</v>
      </c>
      <c r="W388">
        <v>80</v>
      </c>
      <c r="X388">
        <v>0.35</v>
      </c>
      <c r="Y388">
        <f t="shared" si="31"/>
        <v>28</v>
      </c>
      <c r="Z388">
        <f t="shared" si="32"/>
        <v>49.404000000000003</v>
      </c>
      <c r="AA388">
        <f t="shared" si="33"/>
        <v>21.404000000000003</v>
      </c>
      <c r="AB388">
        <f t="shared" si="34"/>
        <v>532.53152000000011</v>
      </c>
    </row>
    <row r="389" spans="1:28" ht="25.5" x14ac:dyDescent="0.25">
      <c r="A389" s="7">
        <v>388</v>
      </c>
      <c r="B389" s="7" t="s">
        <v>15</v>
      </c>
      <c r="C389" s="7" t="s">
        <v>49</v>
      </c>
      <c r="D389" s="7" t="s">
        <v>485</v>
      </c>
      <c r="E389" s="7"/>
      <c r="F389" s="8"/>
      <c r="G389" s="7" t="s">
        <v>485</v>
      </c>
      <c r="H389" s="9">
        <v>37.145941999999998</v>
      </c>
      <c r="I389" s="9">
        <v>9.7902620000000002</v>
      </c>
      <c r="J389" s="7" t="s">
        <v>51</v>
      </c>
      <c r="K389" s="7" t="s">
        <v>37</v>
      </c>
      <c r="L389" s="7"/>
      <c r="M389" s="10">
        <v>24.29</v>
      </c>
      <c r="N389" s="7" t="s">
        <v>70</v>
      </c>
      <c r="O389" s="7"/>
      <c r="P389" s="8" t="s">
        <v>39</v>
      </c>
      <c r="Q389">
        <v>3.66</v>
      </c>
      <c r="R389">
        <v>30.3</v>
      </c>
      <c r="S389" t="s">
        <v>58</v>
      </c>
      <c r="T389">
        <v>9</v>
      </c>
      <c r="U389">
        <f t="shared" si="30"/>
        <v>32.94</v>
      </c>
      <c r="V389">
        <v>0.81</v>
      </c>
      <c r="W389">
        <v>0</v>
      </c>
      <c r="X389">
        <v>0</v>
      </c>
      <c r="Y389">
        <f t="shared" si="31"/>
        <v>0</v>
      </c>
      <c r="Z389">
        <f t="shared" si="32"/>
        <v>26.6814</v>
      </c>
      <c r="AA389">
        <f t="shared" si="33"/>
        <v>26.6814</v>
      </c>
      <c r="AB389">
        <f t="shared" si="34"/>
        <v>648.09120599999994</v>
      </c>
    </row>
    <row r="390" spans="1:28" ht="25.5" x14ac:dyDescent="0.25">
      <c r="A390" s="7">
        <v>389</v>
      </c>
      <c r="B390" s="7" t="s">
        <v>15</v>
      </c>
      <c r="C390" s="7" t="s">
        <v>54</v>
      </c>
      <c r="D390" s="7" t="s">
        <v>486</v>
      </c>
      <c r="E390" s="7"/>
      <c r="F390" s="8"/>
      <c r="G390" s="7" t="s">
        <v>486</v>
      </c>
      <c r="H390" s="9">
        <v>33.653734999999998</v>
      </c>
      <c r="I390" s="9">
        <v>10.300962</v>
      </c>
      <c r="J390" s="7" t="s">
        <v>56</v>
      </c>
      <c r="K390" s="7" t="s">
        <v>37</v>
      </c>
      <c r="L390" s="7"/>
      <c r="M390" s="10">
        <v>9.4600000000000009</v>
      </c>
      <c r="N390" s="7" t="s">
        <v>74</v>
      </c>
      <c r="O390" s="7"/>
      <c r="P390" s="8" t="s">
        <v>39</v>
      </c>
      <c r="Q390">
        <v>4.87</v>
      </c>
      <c r="R390">
        <v>39.1</v>
      </c>
      <c r="S390" t="s">
        <v>40</v>
      </c>
      <c r="T390">
        <v>10</v>
      </c>
      <c r="U390">
        <f t="shared" si="30"/>
        <v>48.7</v>
      </c>
      <c r="V390">
        <v>0.54</v>
      </c>
      <c r="W390">
        <v>120</v>
      </c>
      <c r="X390">
        <v>0.35</v>
      </c>
      <c r="Y390">
        <f t="shared" si="31"/>
        <v>42</v>
      </c>
      <c r="Z390">
        <f t="shared" si="32"/>
        <v>26.298000000000002</v>
      </c>
      <c r="AA390">
        <f t="shared" si="33"/>
        <v>0</v>
      </c>
      <c r="AB390">
        <f t="shared" si="34"/>
        <v>0</v>
      </c>
    </row>
    <row r="391" spans="1:28" ht="25.5" x14ac:dyDescent="0.25">
      <c r="A391" s="7">
        <v>390</v>
      </c>
      <c r="B391" s="7" t="s">
        <v>15</v>
      </c>
      <c r="C391" s="7" t="s">
        <v>59</v>
      </c>
      <c r="D391" s="7" t="s">
        <v>487</v>
      </c>
      <c r="E391" s="7"/>
      <c r="F391" s="8"/>
      <c r="G391" s="7" t="s">
        <v>487</v>
      </c>
      <c r="H391" s="9">
        <v>34.349111999999998</v>
      </c>
      <c r="I391" s="9">
        <v>8.3905829999999995</v>
      </c>
      <c r="J391" s="7" t="s">
        <v>61</v>
      </c>
      <c r="K391" s="7" t="s">
        <v>37</v>
      </c>
      <c r="L391" s="7"/>
      <c r="M391" s="10">
        <v>4.7</v>
      </c>
      <c r="N391" s="7" t="s">
        <v>78</v>
      </c>
      <c r="O391" s="7"/>
      <c r="P391" s="8" t="s">
        <v>39</v>
      </c>
      <c r="Q391">
        <v>4.16</v>
      </c>
      <c r="R391">
        <v>33.700000000000003</v>
      </c>
      <c r="S391" t="s">
        <v>58</v>
      </c>
      <c r="T391">
        <v>14</v>
      </c>
      <c r="U391">
        <f t="shared" si="30"/>
        <v>58.24</v>
      </c>
      <c r="V391">
        <v>0.9</v>
      </c>
      <c r="W391">
        <v>160</v>
      </c>
      <c r="X391">
        <v>0.35</v>
      </c>
      <c r="Y391">
        <f t="shared" si="31"/>
        <v>56</v>
      </c>
      <c r="Z391">
        <f t="shared" si="32"/>
        <v>52.416000000000004</v>
      </c>
      <c r="AA391">
        <f t="shared" si="33"/>
        <v>0</v>
      </c>
      <c r="AB391">
        <f t="shared" si="34"/>
        <v>0</v>
      </c>
    </row>
    <row r="392" spans="1:28" ht="25.5" x14ac:dyDescent="0.25">
      <c r="A392" s="7">
        <v>391</v>
      </c>
      <c r="B392" s="7" t="s">
        <v>15</v>
      </c>
      <c r="C392" s="7" t="s">
        <v>63</v>
      </c>
      <c r="D392" s="7" t="s">
        <v>488</v>
      </c>
      <c r="E392" s="7"/>
      <c r="F392" s="8"/>
      <c r="G392" s="7" t="s">
        <v>488</v>
      </c>
      <c r="H392" s="9">
        <v>36.929141000000001</v>
      </c>
      <c r="I392" s="9">
        <v>8.7617390000000004</v>
      </c>
      <c r="J392" s="7" t="s">
        <v>65</v>
      </c>
      <c r="K392" s="7" t="s">
        <v>37</v>
      </c>
      <c r="L392" s="7"/>
      <c r="M392" s="10">
        <v>23.69</v>
      </c>
      <c r="N392" s="7" t="s">
        <v>38</v>
      </c>
      <c r="O392" s="7"/>
      <c r="P392" s="8" t="s">
        <v>39</v>
      </c>
      <c r="Q392">
        <v>2.41</v>
      </c>
      <c r="R392">
        <v>27.2</v>
      </c>
      <c r="S392" t="s">
        <v>58</v>
      </c>
      <c r="T392">
        <v>18</v>
      </c>
      <c r="U392">
        <f t="shared" si="30"/>
        <v>43.38</v>
      </c>
      <c r="V392">
        <v>0.9</v>
      </c>
      <c r="W392">
        <v>0</v>
      </c>
      <c r="X392">
        <v>0</v>
      </c>
      <c r="Y392">
        <f t="shared" si="31"/>
        <v>0</v>
      </c>
      <c r="Z392">
        <f t="shared" si="32"/>
        <v>39.042000000000002</v>
      </c>
      <c r="AA392">
        <f t="shared" si="33"/>
        <v>39.042000000000002</v>
      </c>
      <c r="AB392">
        <f t="shared" si="34"/>
        <v>924.90498000000014</v>
      </c>
    </row>
    <row r="393" spans="1:28" ht="25.5" x14ac:dyDescent="0.25">
      <c r="A393" s="7">
        <v>392</v>
      </c>
      <c r="B393" s="7" t="s">
        <v>15</v>
      </c>
      <c r="C393" s="7" t="s">
        <v>67</v>
      </c>
      <c r="D393" s="7" t="s">
        <v>489</v>
      </c>
      <c r="E393" s="7"/>
      <c r="F393" s="8"/>
      <c r="G393" s="7" t="s">
        <v>489</v>
      </c>
      <c r="H393" s="9">
        <v>35.640411999999998</v>
      </c>
      <c r="I393" s="9">
        <v>9.9297459999999997</v>
      </c>
      <c r="J393" s="7" t="s">
        <v>69</v>
      </c>
      <c r="K393" s="7" t="s">
        <v>37</v>
      </c>
      <c r="L393" s="7"/>
      <c r="M393" s="10">
        <v>17.34</v>
      </c>
      <c r="N393" s="7" t="s">
        <v>44</v>
      </c>
      <c r="O393" s="7"/>
      <c r="P393" s="8" t="s">
        <v>39</v>
      </c>
      <c r="Q393">
        <v>2.76</v>
      </c>
      <c r="R393">
        <v>14</v>
      </c>
      <c r="S393" t="s">
        <v>91</v>
      </c>
      <c r="T393">
        <v>18</v>
      </c>
      <c r="U393">
        <f t="shared" si="30"/>
        <v>49.679999999999993</v>
      </c>
      <c r="V393">
        <v>1.35</v>
      </c>
      <c r="W393">
        <v>0</v>
      </c>
      <c r="X393">
        <v>0</v>
      </c>
      <c r="Y393">
        <f t="shared" si="31"/>
        <v>0</v>
      </c>
      <c r="Z393">
        <f t="shared" si="32"/>
        <v>67.067999999999998</v>
      </c>
      <c r="AA393">
        <f t="shared" si="33"/>
        <v>67.067999999999998</v>
      </c>
      <c r="AB393">
        <f t="shared" si="34"/>
        <v>1162.95912</v>
      </c>
    </row>
    <row r="394" spans="1:28" ht="25.5" x14ac:dyDescent="0.25">
      <c r="A394" s="7">
        <v>393</v>
      </c>
      <c r="B394" s="7" t="s">
        <v>15</v>
      </c>
      <c r="C394" s="7" t="s">
        <v>71</v>
      </c>
      <c r="D394" s="7" t="s">
        <v>490</v>
      </c>
      <c r="E394" s="7"/>
      <c r="F394" s="8"/>
      <c r="G394" s="7" t="s">
        <v>490</v>
      </c>
      <c r="H394" s="9">
        <v>35.233494999999998</v>
      </c>
      <c r="I394" s="9">
        <v>9.1256939999999993</v>
      </c>
      <c r="J394" s="7" t="s">
        <v>73</v>
      </c>
      <c r="K394" s="7" t="s">
        <v>37</v>
      </c>
      <c r="L394" s="7"/>
      <c r="M394" s="10">
        <v>21.71</v>
      </c>
      <c r="N394" s="7" t="s">
        <v>48</v>
      </c>
      <c r="O394" s="7"/>
      <c r="P394" s="8" t="s">
        <v>39</v>
      </c>
      <c r="Q394">
        <v>6.22</v>
      </c>
      <c r="R394">
        <v>41.5</v>
      </c>
      <c r="S394" t="s">
        <v>40</v>
      </c>
      <c r="T394">
        <v>16</v>
      </c>
      <c r="U394">
        <f t="shared" si="30"/>
        <v>99.52</v>
      </c>
      <c r="V394">
        <v>0.54</v>
      </c>
      <c r="W394">
        <v>120</v>
      </c>
      <c r="X394">
        <v>0.35</v>
      </c>
      <c r="Y394">
        <f t="shared" si="31"/>
        <v>42</v>
      </c>
      <c r="Z394">
        <f t="shared" si="32"/>
        <v>53.7408</v>
      </c>
      <c r="AA394">
        <f t="shared" si="33"/>
        <v>11.7408</v>
      </c>
      <c r="AB394">
        <f t="shared" si="34"/>
        <v>254.89276800000002</v>
      </c>
    </row>
    <row r="395" spans="1:28" ht="25.5" x14ac:dyDescent="0.25">
      <c r="A395" s="7">
        <v>394</v>
      </c>
      <c r="B395" s="7" t="s">
        <v>15</v>
      </c>
      <c r="C395" s="7" t="s">
        <v>75</v>
      </c>
      <c r="D395" s="7" t="s">
        <v>491</v>
      </c>
      <c r="E395" s="7"/>
      <c r="F395" s="8"/>
      <c r="G395" s="7" t="s">
        <v>491</v>
      </c>
      <c r="H395" s="9">
        <v>33.442106000000003</v>
      </c>
      <c r="I395" s="9">
        <v>9.0025030000000008</v>
      </c>
      <c r="J395" s="7" t="s">
        <v>77</v>
      </c>
      <c r="K395" s="7" t="s">
        <v>37</v>
      </c>
      <c r="L395" s="7"/>
      <c r="M395" s="10">
        <v>23.97</v>
      </c>
      <c r="N395" s="7" t="s">
        <v>52</v>
      </c>
      <c r="O395" s="7"/>
      <c r="P395" s="8" t="s">
        <v>39</v>
      </c>
      <c r="Q395">
        <v>2.4300000000000002</v>
      </c>
      <c r="R395">
        <v>20.7</v>
      </c>
      <c r="S395" t="s">
        <v>53</v>
      </c>
      <c r="T395">
        <v>12</v>
      </c>
      <c r="U395">
        <f t="shared" si="30"/>
        <v>29.160000000000004</v>
      </c>
      <c r="V395">
        <v>1.26</v>
      </c>
      <c r="W395">
        <v>0</v>
      </c>
      <c r="X395">
        <v>0</v>
      </c>
      <c r="Y395">
        <f t="shared" si="31"/>
        <v>0</v>
      </c>
      <c r="Z395">
        <f t="shared" si="32"/>
        <v>36.741600000000005</v>
      </c>
      <c r="AA395">
        <f t="shared" si="33"/>
        <v>36.741600000000005</v>
      </c>
      <c r="AB395">
        <f t="shared" si="34"/>
        <v>880.6961520000001</v>
      </c>
    </row>
    <row r="396" spans="1:28" ht="25.5" x14ac:dyDescent="0.25">
      <c r="A396" s="7">
        <v>395</v>
      </c>
      <c r="B396" s="7" t="s">
        <v>15</v>
      </c>
      <c r="C396" s="7" t="s">
        <v>79</v>
      </c>
      <c r="D396" s="7" t="s">
        <v>492</v>
      </c>
      <c r="E396" s="7"/>
      <c r="F396" s="8"/>
      <c r="G396" s="7" t="s">
        <v>492</v>
      </c>
      <c r="H396" s="9">
        <v>35.931102000000003</v>
      </c>
      <c r="I396" s="9">
        <v>8.8538680000000003</v>
      </c>
      <c r="J396" s="7" t="s">
        <v>81</v>
      </c>
      <c r="K396" s="7" t="s">
        <v>37</v>
      </c>
      <c r="L396" s="7"/>
      <c r="M396" s="10">
        <v>14.08</v>
      </c>
      <c r="N396" s="7" t="s">
        <v>57</v>
      </c>
      <c r="O396" s="7"/>
      <c r="P396" s="8" t="s">
        <v>39</v>
      </c>
      <c r="Q396">
        <v>2.36</v>
      </c>
      <c r="R396">
        <v>38.4</v>
      </c>
      <c r="S396" t="s">
        <v>40</v>
      </c>
      <c r="T396">
        <v>8</v>
      </c>
      <c r="U396">
        <f t="shared" si="30"/>
        <v>18.88</v>
      </c>
      <c r="V396">
        <v>0.72</v>
      </c>
      <c r="W396">
        <v>0</v>
      </c>
      <c r="X396">
        <v>0</v>
      </c>
      <c r="Y396">
        <f t="shared" si="31"/>
        <v>0</v>
      </c>
      <c r="Z396">
        <f t="shared" si="32"/>
        <v>13.593599999999999</v>
      </c>
      <c r="AA396">
        <f t="shared" si="33"/>
        <v>13.593599999999999</v>
      </c>
      <c r="AB396">
        <f t="shared" si="34"/>
        <v>191.39788799999999</v>
      </c>
    </row>
    <row r="397" spans="1:28" ht="25.5" x14ac:dyDescent="0.25">
      <c r="A397" s="7">
        <v>396</v>
      </c>
      <c r="B397" s="7" t="s">
        <v>15</v>
      </c>
      <c r="C397" s="7" t="s">
        <v>82</v>
      </c>
      <c r="D397" s="7" t="s">
        <v>493</v>
      </c>
      <c r="E397" s="7"/>
      <c r="F397" s="8"/>
      <c r="G397" s="7" t="s">
        <v>493</v>
      </c>
      <c r="H397" s="9">
        <v>35.255384999999997</v>
      </c>
      <c r="I397" s="9">
        <v>11.139623</v>
      </c>
      <c r="J397" s="7" t="s">
        <v>84</v>
      </c>
      <c r="K397" s="7" t="s">
        <v>37</v>
      </c>
      <c r="L397" s="7"/>
      <c r="M397" s="10">
        <v>11.32</v>
      </c>
      <c r="N397" s="7" t="s">
        <v>62</v>
      </c>
      <c r="O397" s="7"/>
      <c r="P397" s="8" t="s">
        <v>39</v>
      </c>
      <c r="Q397">
        <v>5.67</v>
      </c>
      <c r="R397">
        <v>27.2</v>
      </c>
      <c r="S397" t="s">
        <v>58</v>
      </c>
      <c r="T397">
        <v>7</v>
      </c>
      <c r="U397">
        <f t="shared" si="30"/>
        <v>39.69</v>
      </c>
      <c r="V397">
        <v>0.99</v>
      </c>
      <c r="W397">
        <v>160</v>
      </c>
      <c r="X397">
        <v>0.35</v>
      </c>
      <c r="Y397">
        <f t="shared" si="31"/>
        <v>56</v>
      </c>
      <c r="Z397">
        <f t="shared" si="32"/>
        <v>39.293099999999995</v>
      </c>
      <c r="AA397">
        <f t="shared" si="33"/>
        <v>0</v>
      </c>
      <c r="AB397">
        <f t="shared" si="34"/>
        <v>0</v>
      </c>
    </row>
    <row r="398" spans="1:28" ht="25.5" x14ac:dyDescent="0.25">
      <c r="A398" s="7">
        <v>397</v>
      </c>
      <c r="B398" s="7" t="s">
        <v>15</v>
      </c>
      <c r="C398" s="7" t="s">
        <v>85</v>
      </c>
      <c r="D398" s="7" t="s">
        <v>494</v>
      </c>
      <c r="E398" s="7"/>
      <c r="F398" s="8"/>
      <c r="G398" s="7" t="s">
        <v>494</v>
      </c>
      <c r="H398" s="9">
        <v>36.837933999999997</v>
      </c>
      <c r="I398" s="9">
        <v>9.8494729999999997</v>
      </c>
      <c r="J398" s="7" t="s">
        <v>87</v>
      </c>
      <c r="K398" s="7" t="s">
        <v>37</v>
      </c>
      <c r="L398" s="7"/>
      <c r="M398" s="10">
        <v>20.079999999999998</v>
      </c>
      <c r="N398" s="7" t="s">
        <v>66</v>
      </c>
      <c r="O398" s="7"/>
      <c r="P398" s="8" t="s">
        <v>39</v>
      </c>
      <c r="Q398">
        <v>7.11</v>
      </c>
      <c r="R398">
        <v>19.7</v>
      </c>
      <c r="S398" t="s">
        <v>53</v>
      </c>
      <c r="T398">
        <v>10</v>
      </c>
      <c r="U398">
        <f t="shared" si="30"/>
        <v>71.100000000000009</v>
      </c>
      <c r="V398">
        <v>0.92</v>
      </c>
      <c r="W398">
        <v>120</v>
      </c>
      <c r="X398">
        <v>0.35</v>
      </c>
      <c r="Y398">
        <f t="shared" si="31"/>
        <v>42</v>
      </c>
      <c r="Z398">
        <f t="shared" si="32"/>
        <v>65.412000000000006</v>
      </c>
      <c r="AA398">
        <f t="shared" si="33"/>
        <v>23.412000000000006</v>
      </c>
      <c r="AB398">
        <f t="shared" si="34"/>
        <v>470.1129600000001</v>
      </c>
    </row>
    <row r="399" spans="1:28" ht="25.5" x14ac:dyDescent="0.25">
      <c r="A399" s="7">
        <v>398</v>
      </c>
      <c r="B399" s="7" t="s">
        <v>15</v>
      </c>
      <c r="C399" s="7" t="s">
        <v>88</v>
      </c>
      <c r="D399" s="7" t="s">
        <v>495</v>
      </c>
      <c r="E399" s="7"/>
      <c r="F399" s="8"/>
      <c r="G399" s="7" t="s">
        <v>495</v>
      </c>
      <c r="H399" s="9">
        <v>33.78163</v>
      </c>
      <c r="I399" s="9">
        <v>10.976551000000001</v>
      </c>
      <c r="J399" s="7" t="s">
        <v>90</v>
      </c>
      <c r="K399" s="7" t="s">
        <v>37</v>
      </c>
      <c r="L399" s="7"/>
      <c r="M399" s="10">
        <v>22.26</v>
      </c>
      <c r="N399" s="7" t="s">
        <v>70</v>
      </c>
      <c r="O399" s="7"/>
      <c r="P399" s="8" t="s">
        <v>39</v>
      </c>
      <c r="Q399">
        <v>3.54</v>
      </c>
      <c r="R399">
        <v>14.6</v>
      </c>
      <c r="S399" t="s">
        <v>91</v>
      </c>
      <c r="T399">
        <v>9</v>
      </c>
      <c r="U399">
        <f t="shared" si="30"/>
        <v>31.86</v>
      </c>
      <c r="V399">
        <v>1.22</v>
      </c>
      <c r="W399">
        <v>0</v>
      </c>
      <c r="X399">
        <v>0</v>
      </c>
      <c r="Y399">
        <f t="shared" si="31"/>
        <v>0</v>
      </c>
      <c r="Z399">
        <f t="shared" si="32"/>
        <v>38.869199999999999</v>
      </c>
      <c r="AA399">
        <f t="shared" si="33"/>
        <v>38.869199999999999</v>
      </c>
      <c r="AB399">
        <f t="shared" si="34"/>
        <v>865.2283920000001</v>
      </c>
    </row>
    <row r="400" spans="1:28" ht="25.5" x14ac:dyDescent="0.25">
      <c r="A400" s="7">
        <v>399</v>
      </c>
      <c r="B400" s="7" t="s">
        <v>15</v>
      </c>
      <c r="C400" s="7" t="s">
        <v>92</v>
      </c>
      <c r="D400" s="7" t="s">
        <v>496</v>
      </c>
      <c r="E400" s="7"/>
      <c r="F400" s="8"/>
      <c r="G400" s="7" t="s">
        <v>496</v>
      </c>
      <c r="H400" s="9">
        <v>35.608246999999999</v>
      </c>
      <c r="I400" s="9">
        <v>10.739632</v>
      </c>
      <c r="J400" s="7" t="s">
        <v>94</v>
      </c>
      <c r="K400" s="7" t="s">
        <v>37</v>
      </c>
      <c r="L400" s="7"/>
      <c r="M400" s="10">
        <v>14.67</v>
      </c>
      <c r="N400" s="7" t="s">
        <v>74</v>
      </c>
      <c r="O400" s="7"/>
      <c r="P400" s="8" t="s">
        <v>39</v>
      </c>
      <c r="Q400">
        <v>3.83</v>
      </c>
      <c r="R400">
        <v>28.7</v>
      </c>
      <c r="S400" t="s">
        <v>58</v>
      </c>
      <c r="T400">
        <v>10</v>
      </c>
      <c r="U400">
        <f t="shared" si="30"/>
        <v>38.299999999999997</v>
      </c>
      <c r="V400">
        <v>0.81</v>
      </c>
      <c r="W400">
        <v>0</v>
      </c>
      <c r="X400">
        <v>0</v>
      </c>
      <c r="Y400">
        <f t="shared" si="31"/>
        <v>0</v>
      </c>
      <c r="Z400">
        <f t="shared" si="32"/>
        <v>31.023</v>
      </c>
      <c r="AA400">
        <f t="shared" si="33"/>
        <v>31.023</v>
      </c>
      <c r="AB400">
        <f t="shared" si="34"/>
        <v>455.10741000000002</v>
      </c>
    </row>
    <row r="401" spans="1:28" ht="25.5" x14ac:dyDescent="0.25">
      <c r="A401" s="7">
        <v>400</v>
      </c>
      <c r="B401" s="7" t="s">
        <v>15</v>
      </c>
      <c r="C401" s="7" t="s">
        <v>95</v>
      </c>
      <c r="D401" s="7" t="s">
        <v>497</v>
      </c>
      <c r="E401" s="7"/>
      <c r="F401" s="8"/>
      <c r="G401" s="7" t="s">
        <v>497</v>
      </c>
      <c r="H401" s="9">
        <v>36.560645999999998</v>
      </c>
      <c r="I401" s="9">
        <v>10.888223999999999</v>
      </c>
      <c r="J401" s="7" t="s">
        <v>97</v>
      </c>
      <c r="K401" s="7" t="s">
        <v>37</v>
      </c>
      <c r="L401" s="7"/>
      <c r="M401" s="10">
        <v>3.62</v>
      </c>
      <c r="N401" s="7" t="s">
        <v>78</v>
      </c>
      <c r="O401" s="7"/>
      <c r="P401" s="8" t="s">
        <v>39</v>
      </c>
      <c r="Q401">
        <v>6.38</v>
      </c>
      <c r="R401">
        <v>18</v>
      </c>
      <c r="S401" t="s">
        <v>53</v>
      </c>
      <c r="T401">
        <v>14</v>
      </c>
      <c r="U401">
        <f t="shared" si="30"/>
        <v>89.32</v>
      </c>
      <c r="V401">
        <v>1.1499999999999999</v>
      </c>
      <c r="W401">
        <v>0</v>
      </c>
      <c r="X401">
        <v>0</v>
      </c>
      <c r="Y401">
        <f t="shared" si="31"/>
        <v>0</v>
      </c>
      <c r="Z401">
        <f t="shared" si="32"/>
        <v>102.71799999999999</v>
      </c>
      <c r="AA401">
        <f t="shared" si="33"/>
        <v>102.71799999999999</v>
      </c>
      <c r="AB401">
        <f t="shared" si="34"/>
        <v>371.83915999999999</v>
      </c>
    </row>
    <row r="402" spans="1:28" ht="25.5" x14ac:dyDescent="0.25">
      <c r="A402" s="7">
        <v>401</v>
      </c>
      <c r="B402" s="7" t="s">
        <v>15</v>
      </c>
      <c r="C402" s="7" t="s">
        <v>98</v>
      </c>
      <c r="D402" s="7" t="s">
        <v>498</v>
      </c>
      <c r="E402" s="7"/>
      <c r="F402" s="8"/>
      <c r="G402" s="7" t="s">
        <v>498</v>
      </c>
      <c r="H402" s="9">
        <v>34.768512000000001</v>
      </c>
      <c r="I402" s="9">
        <v>10.486943999999999</v>
      </c>
      <c r="J402" s="7" t="s">
        <v>100</v>
      </c>
      <c r="K402" s="7" t="s">
        <v>37</v>
      </c>
      <c r="L402" s="7"/>
      <c r="M402" s="10">
        <v>8.24</v>
      </c>
      <c r="N402" s="7" t="s">
        <v>38</v>
      </c>
      <c r="O402" s="7"/>
      <c r="P402" s="8" t="s">
        <v>39</v>
      </c>
      <c r="Q402">
        <v>4.3499999999999996</v>
      </c>
      <c r="R402">
        <v>43.9</v>
      </c>
      <c r="S402" t="s">
        <v>40</v>
      </c>
      <c r="T402">
        <v>18</v>
      </c>
      <c r="U402">
        <f t="shared" si="30"/>
        <v>78.3</v>
      </c>
      <c r="V402">
        <v>0.6</v>
      </c>
      <c r="W402">
        <v>50</v>
      </c>
      <c r="X402">
        <v>0.35</v>
      </c>
      <c r="Y402">
        <f t="shared" si="31"/>
        <v>17.5</v>
      </c>
      <c r="Z402">
        <f t="shared" si="32"/>
        <v>46.98</v>
      </c>
      <c r="AA402">
        <f t="shared" si="33"/>
        <v>29.479999999999997</v>
      </c>
      <c r="AB402">
        <f t="shared" si="34"/>
        <v>242.91519999999997</v>
      </c>
    </row>
    <row r="403" spans="1:28" ht="25.5" x14ac:dyDescent="0.25">
      <c r="A403" s="7">
        <v>402</v>
      </c>
      <c r="B403" s="7" t="s">
        <v>15</v>
      </c>
      <c r="C403" s="7" t="s">
        <v>101</v>
      </c>
      <c r="D403" s="7" t="s">
        <v>499</v>
      </c>
      <c r="E403" s="7"/>
      <c r="F403" s="8"/>
      <c r="G403" s="7" t="s">
        <v>499</v>
      </c>
      <c r="H403" s="9">
        <v>34.915537999999998</v>
      </c>
      <c r="I403" s="9">
        <v>9.7885849999999994</v>
      </c>
      <c r="J403" s="7" t="s">
        <v>103</v>
      </c>
      <c r="K403" s="7" t="s">
        <v>37</v>
      </c>
      <c r="L403" s="7"/>
      <c r="M403" s="10">
        <v>14.46</v>
      </c>
      <c r="N403" s="7" t="s">
        <v>44</v>
      </c>
      <c r="O403" s="7"/>
      <c r="P403" s="8" t="s">
        <v>39</v>
      </c>
      <c r="Q403">
        <v>1.96</v>
      </c>
      <c r="R403">
        <v>32.799999999999997</v>
      </c>
      <c r="S403" t="s">
        <v>58</v>
      </c>
      <c r="T403">
        <v>18</v>
      </c>
      <c r="U403">
        <f t="shared" si="30"/>
        <v>35.28</v>
      </c>
      <c r="V403">
        <v>0.9</v>
      </c>
      <c r="W403">
        <v>0</v>
      </c>
      <c r="X403">
        <v>0</v>
      </c>
      <c r="Y403">
        <f t="shared" si="31"/>
        <v>0</v>
      </c>
      <c r="Z403">
        <f t="shared" si="32"/>
        <v>31.752000000000002</v>
      </c>
      <c r="AA403">
        <f t="shared" si="33"/>
        <v>31.752000000000002</v>
      </c>
      <c r="AB403">
        <f t="shared" si="34"/>
        <v>459.13392000000005</v>
      </c>
    </row>
    <row r="404" spans="1:28" ht="25.5" x14ac:dyDescent="0.25">
      <c r="A404" s="7">
        <v>403</v>
      </c>
      <c r="B404" s="7" t="s">
        <v>15</v>
      </c>
      <c r="C404" s="7" t="s">
        <v>104</v>
      </c>
      <c r="D404" s="7" t="s">
        <v>500</v>
      </c>
      <c r="E404" s="7"/>
      <c r="F404" s="8"/>
      <c r="G404" s="7" t="s">
        <v>500</v>
      </c>
      <c r="H404" s="9">
        <v>35.872912999999997</v>
      </c>
      <c r="I404" s="9">
        <v>9.2133430000000001</v>
      </c>
      <c r="J404" s="7" t="s">
        <v>106</v>
      </c>
      <c r="K404" s="7" t="s">
        <v>37</v>
      </c>
      <c r="L404" s="7"/>
      <c r="M404" s="10">
        <v>13.03</v>
      </c>
      <c r="N404" s="7" t="s">
        <v>48</v>
      </c>
      <c r="O404" s="7"/>
      <c r="P404" s="8" t="s">
        <v>39</v>
      </c>
      <c r="Q404">
        <v>4.9000000000000004</v>
      </c>
      <c r="R404">
        <v>42.4</v>
      </c>
      <c r="S404" t="s">
        <v>40</v>
      </c>
      <c r="T404">
        <v>16</v>
      </c>
      <c r="U404">
        <f t="shared" si="30"/>
        <v>78.400000000000006</v>
      </c>
      <c r="V404">
        <v>0.54</v>
      </c>
      <c r="W404">
        <v>50</v>
      </c>
      <c r="X404">
        <v>0.35</v>
      </c>
      <c r="Y404">
        <f t="shared" si="31"/>
        <v>17.5</v>
      </c>
      <c r="Z404">
        <f t="shared" si="32"/>
        <v>42.336000000000006</v>
      </c>
      <c r="AA404">
        <f t="shared" si="33"/>
        <v>24.836000000000006</v>
      </c>
      <c r="AB404">
        <f t="shared" si="34"/>
        <v>323.61308000000008</v>
      </c>
    </row>
    <row r="405" spans="1:28" ht="25.5" x14ac:dyDescent="0.25">
      <c r="A405" s="7">
        <v>404</v>
      </c>
      <c r="B405" s="7" t="s">
        <v>15</v>
      </c>
      <c r="C405" s="7" t="s">
        <v>107</v>
      </c>
      <c r="D405" s="7" t="s">
        <v>501</v>
      </c>
      <c r="E405" s="7"/>
      <c r="F405" s="8"/>
      <c r="G405" s="7" t="s">
        <v>501</v>
      </c>
      <c r="H405" s="9">
        <v>36.155065999999998</v>
      </c>
      <c r="I405" s="9">
        <v>10.389480000000001</v>
      </c>
      <c r="J405" s="7" t="s">
        <v>109</v>
      </c>
      <c r="K405" s="7" t="s">
        <v>37</v>
      </c>
      <c r="L405" s="7"/>
      <c r="M405" s="10">
        <v>18.260000000000002</v>
      </c>
      <c r="N405" s="7" t="s">
        <v>52</v>
      </c>
      <c r="O405" s="7"/>
      <c r="P405" s="8" t="s">
        <v>39</v>
      </c>
      <c r="Q405">
        <v>2.54</v>
      </c>
      <c r="R405">
        <v>27.4</v>
      </c>
      <c r="S405" t="s">
        <v>58</v>
      </c>
      <c r="T405">
        <v>12</v>
      </c>
      <c r="U405">
        <f t="shared" si="30"/>
        <v>30.48</v>
      </c>
      <c r="V405">
        <v>0.99</v>
      </c>
      <c r="W405">
        <v>160</v>
      </c>
      <c r="X405">
        <v>0.35</v>
      </c>
      <c r="Y405">
        <f t="shared" si="31"/>
        <v>56</v>
      </c>
      <c r="Z405">
        <f t="shared" si="32"/>
        <v>30.1752</v>
      </c>
      <c r="AA405">
        <f t="shared" si="33"/>
        <v>0</v>
      </c>
      <c r="AB405">
        <f t="shared" si="34"/>
        <v>0</v>
      </c>
    </row>
    <row r="406" spans="1:28" ht="25.5" x14ac:dyDescent="0.25">
      <c r="A406" s="7">
        <v>405</v>
      </c>
      <c r="B406" s="7" t="s">
        <v>15</v>
      </c>
      <c r="C406" s="7" t="s">
        <v>110</v>
      </c>
      <c r="D406" s="7" t="s">
        <v>502</v>
      </c>
      <c r="E406" s="7"/>
      <c r="F406" s="8"/>
      <c r="G406" s="7" t="s">
        <v>502</v>
      </c>
      <c r="H406" s="9">
        <v>33.190629999999999</v>
      </c>
      <c r="I406" s="9">
        <v>10.244672</v>
      </c>
      <c r="J406" s="7" t="s">
        <v>112</v>
      </c>
      <c r="K406" s="7" t="s">
        <v>37</v>
      </c>
      <c r="L406" s="7"/>
      <c r="M406" s="10">
        <v>15.77</v>
      </c>
      <c r="N406" s="7" t="s">
        <v>57</v>
      </c>
      <c r="O406" s="7"/>
      <c r="P406" s="8" t="s">
        <v>39</v>
      </c>
      <c r="Q406">
        <v>2.86</v>
      </c>
      <c r="R406">
        <v>39.1</v>
      </c>
      <c r="S406" t="s">
        <v>40</v>
      </c>
      <c r="T406">
        <v>8</v>
      </c>
      <c r="U406">
        <f t="shared" si="30"/>
        <v>22.88</v>
      </c>
      <c r="V406">
        <v>0.72</v>
      </c>
      <c r="W406">
        <v>50</v>
      </c>
      <c r="X406">
        <v>0.35</v>
      </c>
      <c r="Y406">
        <f t="shared" si="31"/>
        <v>17.5</v>
      </c>
      <c r="Z406">
        <f t="shared" si="32"/>
        <v>16.473599999999998</v>
      </c>
      <c r="AA406">
        <f t="shared" si="33"/>
        <v>0</v>
      </c>
      <c r="AB406">
        <f t="shared" si="34"/>
        <v>0</v>
      </c>
    </row>
    <row r="407" spans="1:28" ht="25.5" x14ac:dyDescent="0.25">
      <c r="A407" s="7">
        <v>406</v>
      </c>
      <c r="B407" s="7" t="s">
        <v>15</v>
      </c>
      <c r="C407" s="7" t="s">
        <v>113</v>
      </c>
      <c r="D407" s="7" t="s">
        <v>503</v>
      </c>
      <c r="E407" s="7"/>
      <c r="F407" s="8"/>
      <c r="G407" s="7" t="s">
        <v>503</v>
      </c>
      <c r="H407" s="9">
        <v>33.880384999999997</v>
      </c>
      <c r="I407" s="9">
        <v>7.8653829999999996</v>
      </c>
      <c r="J407" s="7" t="s">
        <v>115</v>
      </c>
      <c r="K407" s="7" t="s">
        <v>37</v>
      </c>
      <c r="L407" s="7"/>
      <c r="M407" s="10">
        <v>18.68</v>
      </c>
      <c r="N407" s="7" t="s">
        <v>62</v>
      </c>
      <c r="O407" s="7"/>
      <c r="P407" s="8" t="s">
        <v>39</v>
      </c>
      <c r="Q407">
        <v>7.42</v>
      </c>
      <c r="R407">
        <v>40.299999999999997</v>
      </c>
      <c r="S407" t="s">
        <v>40</v>
      </c>
      <c r="T407">
        <v>7</v>
      </c>
      <c r="U407">
        <f t="shared" si="30"/>
        <v>51.94</v>
      </c>
      <c r="V407">
        <v>0.66</v>
      </c>
      <c r="W407">
        <v>0</v>
      </c>
      <c r="X407">
        <v>0</v>
      </c>
      <c r="Y407">
        <f t="shared" si="31"/>
        <v>0</v>
      </c>
      <c r="Z407">
        <f t="shared" si="32"/>
        <v>34.2804</v>
      </c>
      <c r="AA407">
        <f t="shared" si="33"/>
        <v>34.2804</v>
      </c>
      <c r="AB407">
        <f t="shared" si="34"/>
        <v>640.35787200000004</v>
      </c>
    </row>
    <row r="408" spans="1:28" ht="25.5" x14ac:dyDescent="0.25">
      <c r="A408" s="7">
        <v>407</v>
      </c>
      <c r="B408" s="7" t="s">
        <v>15</v>
      </c>
      <c r="C408" s="7" t="s">
        <v>116</v>
      </c>
      <c r="D408" s="7" t="s">
        <v>504</v>
      </c>
      <c r="E408" s="7"/>
      <c r="F408" s="8"/>
      <c r="G408" s="7" t="s">
        <v>504</v>
      </c>
      <c r="H408" s="9">
        <v>36.842337999999998</v>
      </c>
      <c r="I408" s="9">
        <v>10.309900000000001</v>
      </c>
      <c r="J408" s="7" t="s">
        <v>118</v>
      </c>
      <c r="K408" s="7" t="s">
        <v>37</v>
      </c>
      <c r="L408" s="7"/>
      <c r="M408" s="10">
        <v>16.07</v>
      </c>
      <c r="N408" s="7" t="s">
        <v>66</v>
      </c>
      <c r="O408" s="7"/>
      <c r="P408" s="8" t="s">
        <v>39</v>
      </c>
      <c r="Q408">
        <v>6.41</v>
      </c>
      <c r="R408">
        <v>28</v>
      </c>
      <c r="S408" t="s">
        <v>58</v>
      </c>
      <c r="T408">
        <v>10</v>
      </c>
      <c r="U408">
        <f t="shared" si="30"/>
        <v>64.099999999999994</v>
      </c>
      <c r="V408">
        <v>0.72</v>
      </c>
      <c r="W408">
        <v>160</v>
      </c>
      <c r="X408">
        <v>0.35</v>
      </c>
      <c r="Y408">
        <f t="shared" si="31"/>
        <v>56</v>
      </c>
      <c r="Z408">
        <f t="shared" si="32"/>
        <v>46.151999999999994</v>
      </c>
      <c r="AA408">
        <f t="shared" si="33"/>
        <v>0</v>
      </c>
      <c r="AB408">
        <f t="shared" si="34"/>
        <v>0</v>
      </c>
    </row>
    <row r="409" spans="1:28" ht="25.5" x14ac:dyDescent="0.25">
      <c r="A409" s="7">
        <v>408</v>
      </c>
      <c r="B409" s="7" t="s">
        <v>15</v>
      </c>
      <c r="C409" s="7" t="s">
        <v>119</v>
      </c>
      <c r="D409" s="7" t="s">
        <v>505</v>
      </c>
      <c r="E409" s="7"/>
      <c r="F409" s="8"/>
      <c r="G409" s="7" t="s">
        <v>505</v>
      </c>
      <c r="H409" s="9">
        <v>36.367283</v>
      </c>
      <c r="I409" s="9">
        <v>9.613016</v>
      </c>
      <c r="J409" s="7" t="s">
        <v>121</v>
      </c>
      <c r="K409" s="7" t="s">
        <v>37</v>
      </c>
      <c r="L409" s="7"/>
      <c r="M409" s="10">
        <v>20.16</v>
      </c>
      <c r="N409" s="7" t="s">
        <v>70</v>
      </c>
      <c r="O409" s="7"/>
      <c r="P409" s="8" t="s">
        <v>39</v>
      </c>
      <c r="Q409">
        <v>3.96</v>
      </c>
      <c r="R409">
        <v>11.5</v>
      </c>
      <c r="S409" t="s">
        <v>91</v>
      </c>
      <c r="T409">
        <v>9</v>
      </c>
      <c r="U409">
        <f t="shared" si="30"/>
        <v>35.64</v>
      </c>
      <c r="V409">
        <v>1.22</v>
      </c>
      <c r="W409">
        <v>120</v>
      </c>
      <c r="X409">
        <v>0.35</v>
      </c>
      <c r="Y409">
        <f t="shared" si="31"/>
        <v>42</v>
      </c>
      <c r="Z409">
        <f t="shared" si="32"/>
        <v>43.480800000000002</v>
      </c>
      <c r="AA409">
        <f t="shared" si="33"/>
        <v>1.4808000000000021</v>
      </c>
      <c r="AB409">
        <f t="shared" si="34"/>
        <v>29.852928000000041</v>
      </c>
    </row>
    <row r="410" spans="1:28" ht="25.5" x14ac:dyDescent="0.25">
      <c r="A410" s="7">
        <v>409</v>
      </c>
      <c r="B410" s="7" t="s">
        <v>15</v>
      </c>
      <c r="C410" s="7" t="s">
        <v>34</v>
      </c>
      <c r="D410" s="7" t="s">
        <v>506</v>
      </c>
      <c r="E410" s="7"/>
      <c r="F410" s="8"/>
      <c r="G410" s="7" t="s">
        <v>506</v>
      </c>
      <c r="H410" s="9">
        <v>36.915846999999999</v>
      </c>
      <c r="I410" s="9">
        <v>10.238125</v>
      </c>
      <c r="J410" s="7" t="s">
        <v>36</v>
      </c>
      <c r="K410" s="7" t="s">
        <v>37</v>
      </c>
      <c r="L410" s="7"/>
      <c r="M410" s="10">
        <v>2.27</v>
      </c>
      <c r="N410" s="7" t="s">
        <v>74</v>
      </c>
      <c r="O410" s="7"/>
      <c r="P410" s="8" t="s">
        <v>39</v>
      </c>
      <c r="Q410">
        <v>2.2200000000000002</v>
      </c>
      <c r="R410">
        <v>16.899999999999999</v>
      </c>
      <c r="S410" t="s">
        <v>53</v>
      </c>
      <c r="T410">
        <v>10</v>
      </c>
      <c r="U410">
        <f t="shared" si="30"/>
        <v>22.200000000000003</v>
      </c>
      <c r="V410">
        <v>1.03</v>
      </c>
      <c r="W410">
        <v>0</v>
      </c>
      <c r="X410">
        <v>0</v>
      </c>
      <c r="Y410">
        <f t="shared" si="31"/>
        <v>0</v>
      </c>
      <c r="Z410">
        <f t="shared" si="32"/>
        <v>22.866000000000003</v>
      </c>
      <c r="AA410">
        <f t="shared" si="33"/>
        <v>22.866000000000003</v>
      </c>
      <c r="AB410">
        <f t="shared" si="34"/>
        <v>51.905820000000006</v>
      </c>
    </row>
    <row r="411" spans="1:28" ht="25.5" x14ac:dyDescent="0.25">
      <c r="A411" s="7">
        <v>410</v>
      </c>
      <c r="B411" s="7" t="s">
        <v>15</v>
      </c>
      <c r="C411" s="7" t="s">
        <v>41</v>
      </c>
      <c r="D411" s="7" t="s">
        <v>507</v>
      </c>
      <c r="E411" s="7"/>
      <c r="F411" s="8"/>
      <c r="G411" s="7" t="s">
        <v>507</v>
      </c>
      <c r="H411" s="9">
        <v>36.668981000000002</v>
      </c>
      <c r="I411" s="9">
        <v>9.625375</v>
      </c>
      <c r="J411" s="7" t="s">
        <v>43</v>
      </c>
      <c r="K411" s="7" t="s">
        <v>37</v>
      </c>
      <c r="L411" s="7"/>
      <c r="M411" s="10">
        <v>18.309999999999999</v>
      </c>
      <c r="N411" s="7" t="s">
        <v>78</v>
      </c>
      <c r="O411" s="7"/>
      <c r="P411" s="8" t="s">
        <v>39</v>
      </c>
      <c r="Q411">
        <v>7.52</v>
      </c>
      <c r="R411">
        <v>27</v>
      </c>
      <c r="S411" t="s">
        <v>58</v>
      </c>
      <c r="T411">
        <v>14</v>
      </c>
      <c r="U411">
        <f t="shared" si="30"/>
        <v>105.28</v>
      </c>
      <c r="V411">
        <v>0.9</v>
      </c>
      <c r="W411">
        <v>80</v>
      </c>
      <c r="X411">
        <v>0.35</v>
      </c>
      <c r="Y411">
        <f t="shared" si="31"/>
        <v>28</v>
      </c>
      <c r="Z411">
        <f t="shared" si="32"/>
        <v>94.75200000000001</v>
      </c>
      <c r="AA411">
        <f t="shared" si="33"/>
        <v>66.75200000000001</v>
      </c>
      <c r="AB411">
        <f t="shared" si="34"/>
        <v>1222.2291200000002</v>
      </c>
    </row>
    <row r="412" spans="1:28" ht="25.5" x14ac:dyDescent="0.25">
      <c r="A412" s="7">
        <v>411</v>
      </c>
      <c r="B412" s="7" t="s">
        <v>15</v>
      </c>
      <c r="C412" s="7" t="s">
        <v>45</v>
      </c>
      <c r="D412" s="7" t="s">
        <v>508</v>
      </c>
      <c r="E412" s="7"/>
      <c r="F412" s="8"/>
      <c r="G412" s="7" t="s">
        <v>508</v>
      </c>
      <c r="H412" s="9">
        <v>36.595236</v>
      </c>
      <c r="I412" s="9">
        <v>10.296109</v>
      </c>
      <c r="J412" s="7" t="s">
        <v>47</v>
      </c>
      <c r="K412" s="7" t="s">
        <v>37</v>
      </c>
      <c r="L412" s="7"/>
      <c r="M412" s="10">
        <v>7.41</v>
      </c>
      <c r="N412" s="7" t="s">
        <v>38</v>
      </c>
      <c r="O412" s="7"/>
      <c r="P412" s="8" t="s">
        <v>39</v>
      </c>
      <c r="Q412">
        <v>3.42</v>
      </c>
      <c r="R412">
        <v>44.3</v>
      </c>
      <c r="S412" t="s">
        <v>40</v>
      </c>
      <c r="T412">
        <v>18</v>
      </c>
      <c r="U412">
        <f t="shared" si="30"/>
        <v>61.56</v>
      </c>
      <c r="V412">
        <v>0.6</v>
      </c>
      <c r="W412">
        <v>0</v>
      </c>
      <c r="X412">
        <v>0</v>
      </c>
      <c r="Y412">
        <f t="shared" si="31"/>
        <v>0</v>
      </c>
      <c r="Z412">
        <f t="shared" si="32"/>
        <v>36.936</v>
      </c>
      <c r="AA412">
        <f t="shared" si="33"/>
        <v>36.936</v>
      </c>
      <c r="AB412">
        <f t="shared" si="34"/>
        <v>273.69576000000001</v>
      </c>
    </row>
    <row r="413" spans="1:28" ht="25.5" x14ac:dyDescent="0.25">
      <c r="A413" s="7">
        <v>412</v>
      </c>
      <c r="B413" s="7" t="s">
        <v>15</v>
      </c>
      <c r="C413" s="7" t="s">
        <v>49</v>
      </c>
      <c r="D413" s="7" t="s">
        <v>509</v>
      </c>
      <c r="E413" s="7"/>
      <c r="F413" s="8"/>
      <c r="G413" s="7" t="s">
        <v>509</v>
      </c>
      <c r="H413" s="9">
        <v>37.178552000000003</v>
      </c>
      <c r="I413" s="9">
        <v>9.8113919999999997</v>
      </c>
      <c r="J413" s="7" t="s">
        <v>51</v>
      </c>
      <c r="K413" s="7" t="s">
        <v>37</v>
      </c>
      <c r="L413" s="7"/>
      <c r="M413" s="10">
        <v>18.760000000000002</v>
      </c>
      <c r="N413" s="7" t="s">
        <v>44</v>
      </c>
      <c r="O413" s="7"/>
      <c r="P413" s="8" t="s">
        <v>39</v>
      </c>
      <c r="Q413">
        <v>2.29</v>
      </c>
      <c r="R413">
        <v>16</v>
      </c>
      <c r="S413" t="s">
        <v>53</v>
      </c>
      <c r="T413">
        <v>18</v>
      </c>
      <c r="U413">
        <f t="shared" si="30"/>
        <v>41.22</v>
      </c>
      <c r="V413">
        <v>1.1499999999999999</v>
      </c>
      <c r="W413">
        <v>50</v>
      </c>
      <c r="X413">
        <v>0.35</v>
      </c>
      <c r="Y413">
        <f t="shared" si="31"/>
        <v>17.5</v>
      </c>
      <c r="Z413">
        <f t="shared" si="32"/>
        <v>47.402999999999992</v>
      </c>
      <c r="AA413">
        <f t="shared" si="33"/>
        <v>29.902999999999992</v>
      </c>
      <c r="AB413">
        <f t="shared" si="34"/>
        <v>560.98027999999988</v>
      </c>
    </row>
    <row r="414" spans="1:28" ht="25.5" x14ac:dyDescent="0.25">
      <c r="A414" s="7">
        <v>413</v>
      </c>
      <c r="B414" s="7" t="s">
        <v>15</v>
      </c>
      <c r="C414" s="7" t="s">
        <v>54</v>
      </c>
      <c r="D414" s="7" t="s">
        <v>510</v>
      </c>
      <c r="E414" s="7"/>
      <c r="F414" s="8"/>
      <c r="G414" s="7" t="s">
        <v>510</v>
      </c>
      <c r="H414" s="9">
        <v>33.633307000000002</v>
      </c>
      <c r="I414" s="9">
        <v>10.285188</v>
      </c>
      <c r="J414" s="7" t="s">
        <v>56</v>
      </c>
      <c r="K414" s="7" t="s">
        <v>37</v>
      </c>
      <c r="L414" s="7"/>
      <c r="M414" s="10">
        <v>0.99</v>
      </c>
      <c r="N414" s="7" t="s">
        <v>48</v>
      </c>
      <c r="O414" s="7"/>
      <c r="P414" s="8" t="s">
        <v>39</v>
      </c>
      <c r="Q414">
        <v>6.3</v>
      </c>
      <c r="R414">
        <v>37.9</v>
      </c>
      <c r="S414" t="s">
        <v>40</v>
      </c>
      <c r="T414">
        <v>16</v>
      </c>
      <c r="U414">
        <f t="shared" si="30"/>
        <v>100.8</v>
      </c>
      <c r="V414">
        <v>0.54</v>
      </c>
      <c r="W414">
        <v>120</v>
      </c>
      <c r="X414">
        <v>0.35</v>
      </c>
      <c r="Y414">
        <f t="shared" si="31"/>
        <v>42</v>
      </c>
      <c r="Z414">
        <f t="shared" si="32"/>
        <v>54.432000000000002</v>
      </c>
      <c r="AA414">
        <f t="shared" si="33"/>
        <v>12.432000000000002</v>
      </c>
      <c r="AB414">
        <f t="shared" si="34"/>
        <v>12.307680000000001</v>
      </c>
    </row>
    <row r="415" spans="1:28" ht="25.5" x14ac:dyDescent="0.25">
      <c r="A415" s="7">
        <v>414</v>
      </c>
      <c r="B415" s="7" t="s">
        <v>15</v>
      </c>
      <c r="C415" s="7" t="s">
        <v>59</v>
      </c>
      <c r="D415" s="7" t="s">
        <v>511</v>
      </c>
      <c r="E415" s="7"/>
      <c r="F415" s="8"/>
      <c r="G415" s="7" t="s">
        <v>511</v>
      </c>
      <c r="H415" s="9">
        <v>34.336750000000002</v>
      </c>
      <c r="I415" s="9">
        <v>8.4117390000000007</v>
      </c>
      <c r="J415" s="7" t="s">
        <v>61</v>
      </c>
      <c r="K415" s="7" t="s">
        <v>37</v>
      </c>
      <c r="L415" s="7"/>
      <c r="M415" s="10">
        <v>7.05</v>
      </c>
      <c r="N415" s="7" t="s">
        <v>52</v>
      </c>
      <c r="O415" s="7"/>
      <c r="P415" s="8" t="s">
        <v>39</v>
      </c>
      <c r="Q415">
        <v>1.88</v>
      </c>
      <c r="R415">
        <v>19.8</v>
      </c>
      <c r="S415" t="s">
        <v>53</v>
      </c>
      <c r="T415">
        <v>12</v>
      </c>
      <c r="U415">
        <f t="shared" si="30"/>
        <v>22.56</v>
      </c>
      <c r="V415">
        <v>1.26</v>
      </c>
      <c r="W415">
        <v>80</v>
      </c>
      <c r="X415">
        <v>0.35</v>
      </c>
      <c r="Y415">
        <f t="shared" si="31"/>
        <v>28</v>
      </c>
      <c r="Z415">
        <f t="shared" si="32"/>
        <v>28.425599999999999</v>
      </c>
      <c r="AA415">
        <f t="shared" si="33"/>
        <v>0.42559999999999931</v>
      </c>
      <c r="AB415">
        <f t="shared" si="34"/>
        <v>3.0004799999999952</v>
      </c>
    </row>
    <row r="416" spans="1:28" ht="25.5" x14ac:dyDescent="0.25">
      <c r="A416" s="7">
        <v>415</v>
      </c>
      <c r="B416" s="7" t="s">
        <v>15</v>
      </c>
      <c r="C416" s="7" t="s">
        <v>63</v>
      </c>
      <c r="D416" s="7" t="s">
        <v>512</v>
      </c>
      <c r="E416" s="7"/>
      <c r="F416" s="8"/>
      <c r="G416" s="7" t="s">
        <v>512</v>
      </c>
      <c r="H416" s="9">
        <v>36.958961000000002</v>
      </c>
      <c r="I416" s="9">
        <v>8.7710450000000009</v>
      </c>
      <c r="J416" s="7" t="s">
        <v>65</v>
      </c>
      <c r="K416" s="7" t="s">
        <v>37</v>
      </c>
      <c r="L416" s="7"/>
      <c r="M416" s="10">
        <v>12.53</v>
      </c>
      <c r="N416" s="7" t="s">
        <v>57</v>
      </c>
      <c r="O416" s="7"/>
      <c r="P416" s="8" t="s">
        <v>39</v>
      </c>
      <c r="Q416">
        <v>3.14</v>
      </c>
      <c r="R416">
        <v>13.5</v>
      </c>
      <c r="S416" t="s">
        <v>91</v>
      </c>
      <c r="T416">
        <v>8</v>
      </c>
      <c r="U416">
        <f t="shared" si="30"/>
        <v>25.12</v>
      </c>
      <c r="V416">
        <v>1.6</v>
      </c>
      <c r="W416">
        <v>0</v>
      </c>
      <c r="X416">
        <v>0</v>
      </c>
      <c r="Y416">
        <f t="shared" si="31"/>
        <v>0</v>
      </c>
      <c r="Z416">
        <f t="shared" si="32"/>
        <v>40.192000000000007</v>
      </c>
      <c r="AA416">
        <f t="shared" si="33"/>
        <v>40.192000000000007</v>
      </c>
      <c r="AB416">
        <f t="shared" si="34"/>
        <v>503.60576000000009</v>
      </c>
    </row>
    <row r="417" spans="1:28" ht="25.5" x14ac:dyDescent="0.25">
      <c r="A417" s="7">
        <v>416</v>
      </c>
      <c r="B417" s="7" t="s">
        <v>15</v>
      </c>
      <c r="C417" s="7" t="s">
        <v>67</v>
      </c>
      <c r="D417" s="7" t="s">
        <v>513</v>
      </c>
      <c r="E417" s="7"/>
      <c r="F417" s="8"/>
      <c r="G417" s="7" t="s">
        <v>513</v>
      </c>
      <c r="H417" s="9">
        <v>35.620955000000002</v>
      </c>
      <c r="I417" s="9">
        <v>9.9300250000000005</v>
      </c>
      <c r="J417" s="7" t="s">
        <v>69</v>
      </c>
      <c r="K417" s="7" t="s">
        <v>37</v>
      </c>
      <c r="L417" s="7"/>
      <c r="M417" s="10">
        <v>16.39</v>
      </c>
      <c r="N417" s="7" t="s">
        <v>62</v>
      </c>
      <c r="O417" s="7"/>
      <c r="P417" s="8" t="s">
        <v>39</v>
      </c>
      <c r="Q417">
        <v>2.97</v>
      </c>
      <c r="R417">
        <v>26</v>
      </c>
      <c r="S417" t="s">
        <v>58</v>
      </c>
      <c r="T417">
        <v>7</v>
      </c>
      <c r="U417">
        <f t="shared" si="30"/>
        <v>20.790000000000003</v>
      </c>
      <c r="V417">
        <v>0.99</v>
      </c>
      <c r="W417">
        <v>0</v>
      </c>
      <c r="X417">
        <v>0</v>
      </c>
      <c r="Y417">
        <f t="shared" si="31"/>
        <v>0</v>
      </c>
      <c r="Z417">
        <f t="shared" si="32"/>
        <v>20.582100000000004</v>
      </c>
      <c r="AA417">
        <f t="shared" si="33"/>
        <v>20.582100000000004</v>
      </c>
      <c r="AB417">
        <f t="shared" si="34"/>
        <v>337.34061900000006</v>
      </c>
    </row>
    <row r="418" spans="1:28" ht="25.5" x14ac:dyDescent="0.25">
      <c r="A418" s="7">
        <v>417</v>
      </c>
      <c r="B418" s="7" t="s">
        <v>15</v>
      </c>
      <c r="C418" s="7" t="s">
        <v>71</v>
      </c>
      <c r="D418" s="7" t="s">
        <v>514</v>
      </c>
      <c r="E418" s="7"/>
      <c r="F418" s="8"/>
      <c r="G418" s="7" t="s">
        <v>514</v>
      </c>
      <c r="H418" s="9">
        <v>35.257094000000002</v>
      </c>
      <c r="I418" s="9">
        <v>9.1034050000000004</v>
      </c>
      <c r="J418" s="7" t="s">
        <v>73</v>
      </c>
      <c r="K418" s="7" t="s">
        <v>37</v>
      </c>
      <c r="L418" s="7"/>
      <c r="M418" s="10">
        <v>13.57</v>
      </c>
      <c r="N418" s="7" t="s">
        <v>66</v>
      </c>
      <c r="O418" s="7"/>
      <c r="P418" s="8" t="s">
        <v>39</v>
      </c>
      <c r="Q418">
        <v>2.83</v>
      </c>
      <c r="R418">
        <v>10.1</v>
      </c>
      <c r="S418" t="s">
        <v>91</v>
      </c>
      <c r="T418">
        <v>10</v>
      </c>
      <c r="U418">
        <f t="shared" si="30"/>
        <v>28.3</v>
      </c>
      <c r="V418">
        <v>1.08</v>
      </c>
      <c r="W418">
        <v>120</v>
      </c>
      <c r="X418">
        <v>0.35</v>
      </c>
      <c r="Y418">
        <f t="shared" si="31"/>
        <v>42</v>
      </c>
      <c r="Z418">
        <f t="shared" si="32"/>
        <v>30.564000000000004</v>
      </c>
      <c r="AA418">
        <f t="shared" si="33"/>
        <v>0</v>
      </c>
      <c r="AB418">
        <f t="shared" si="34"/>
        <v>0</v>
      </c>
    </row>
    <row r="419" spans="1:28" ht="25.5" x14ac:dyDescent="0.25">
      <c r="A419" s="7">
        <v>418</v>
      </c>
      <c r="B419" s="7" t="s">
        <v>15</v>
      </c>
      <c r="C419" s="7" t="s">
        <v>75</v>
      </c>
      <c r="D419" s="7" t="s">
        <v>515</v>
      </c>
      <c r="E419" s="7"/>
      <c r="F419" s="8"/>
      <c r="G419" s="7" t="s">
        <v>515</v>
      </c>
      <c r="H419" s="9">
        <v>33.463307</v>
      </c>
      <c r="I419" s="9">
        <v>9.0091059999999992</v>
      </c>
      <c r="J419" s="7" t="s">
        <v>77</v>
      </c>
      <c r="K419" s="7" t="s">
        <v>37</v>
      </c>
      <c r="L419" s="7"/>
      <c r="M419" s="10">
        <v>15.53</v>
      </c>
      <c r="N419" s="7" t="s">
        <v>70</v>
      </c>
      <c r="O419" s="7"/>
      <c r="P419" s="8" t="s">
        <v>39</v>
      </c>
      <c r="Q419">
        <v>4.4800000000000004</v>
      </c>
      <c r="R419">
        <v>13.4</v>
      </c>
      <c r="S419" t="s">
        <v>91</v>
      </c>
      <c r="T419">
        <v>9</v>
      </c>
      <c r="U419">
        <f t="shared" si="30"/>
        <v>40.320000000000007</v>
      </c>
      <c r="V419">
        <v>1.22</v>
      </c>
      <c r="W419">
        <v>120</v>
      </c>
      <c r="X419">
        <v>0.35</v>
      </c>
      <c r="Y419">
        <f t="shared" si="31"/>
        <v>42</v>
      </c>
      <c r="Z419">
        <f t="shared" si="32"/>
        <v>49.190400000000011</v>
      </c>
      <c r="AA419">
        <f t="shared" si="33"/>
        <v>7.190400000000011</v>
      </c>
      <c r="AB419">
        <f t="shared" si="34"/>
        <v>111.66691200000017</v>
      </c>
    </row>
    <row r="420" spans="1:28" ht="25.5" x14ac:dyDescent="0.25">
      <c r="A420" s="7">
        <v>419</v>
      </c>
      <c r="B420" s="7" t="s">
        <v>15</v>
      </c>
      <c r="C420" s="7" t="s">
        <v>79</v>
      </c>
      <c r="D420" s="7" t="s">
        <v>516</v>
      </c>
      <c r="E420" s="7"/>
      <c r="F420" s="8"/>
      <c r="G420" s="7" t="s">
        <v>516</v>
      </c>
      <c r="H420" s="9">
        <v>35.914392999999997</v>
      </c>
      <c r="I420" s="9">
        <v>8.8106259999999992</v>
      </c>
      <c r="J420" s="7" t="s">
        <v>81</v>
      </c>
      <c r="K420" s="7" t="s">
        <v>37</v>
      </c>
      <c r="L420" s="7"/>
      <c r="M420" s="10">
        <v>7.59</v>
      </c>
      <c r="N420" s="7" t="s">
        <v>74</v>
      </c>
      <c r="O420" s="7"/>
      <c r="P420" s="8" t="s">
        <v>39</v>
      </c>
      <c r="Q420">
        <v>2.5299999999999998</v>
      </c>
      <c r="R420">
        <v>16.3</v>
      </c>
      <c r="S420" t="s">
        <v>53</v>
      </c>
      <c r="T420">
        <v>10</v>
      </c>
      <c r="U420">
        <f t="shared" si="30"/>
        <v>25.299999999999997</v>
      </c>
      <c r="V420">
        <v>1.03</v>
      </c>
      <c r="W420">
        <v>0</v>
      </c>
      <c r="X420">
        <v>0</v>
      </c>
      <c r="Y420">
        <f t="shared" si="31"/>
        <v>0</v>
      </c>
      <c r="Z420">
        <f t="shared" si="32"/>
        <v>26.058999999999997</v>
      </c>
      <c r="AA420">
        <f t="shared" si="33"/>
        <v>26.058999999999997</v>
      </c>
      <c r="AB420">
        <f t="shared" si="34"/>
        <v>197.78780999999998</v>
      </c>
    </row>
    <row r="421" spans="1:28" ht="25.5" x14ac:dyDescent="0.25">
      <c r="A421" s="7">
        <v>420</v>
      </c>
      <c r="B421" s="7" t="s">
        <v>15</v>
      </c>
      <c r="C421" s="7" t="s">
        <v>82</v>
      </c>
      <c r="D421" s="7" t="s">
        <v>517</v>
      </c>
      <c r="E421" s="7"/>
      <c r="F421" s="8"/>
      <c r="G421" s="7" t="s">
        <v>517</v>
      </c>
      <c r="H421" s="9">
        <v>35.255654999999997</v>
      </c>
      <c r="I421" s="9">
        <v>11.113856</v>
      </c>
      <c r="J421" s="7" t="s">
        <v>84</v>
      </c>
      <c r="K421" s="7" t="s">
        <v>37</v>
      </c>
      <c r="L421" s="7"/>
      <c r="M421" s="10">
        <v>2.48</v>
      </c>
      <c r="N421" s="7" t="s">
        <v>78</v>
      </c>
      <c r="O421" s="7"/>
      <c r="P421" s="8" t="s">
        <v>39</v>
      </c>
      <c r="Q421">
        <v>3.21</v>
      </c>
      <c r="R421">
        <v>40.5</v>
      </c>
      <c r="S421" t="s">
        <v>40</v>
      </c>
      <c r="T421">
        <v>14</v>
      </c>
      <c r="U421">
        <f t="shared" si="30"/>
        <v>44.94</v>
      </c>
      <c r="V421">
        <v>0.6</v>
      </c>
      <c r="W421">
        <v>0</v>
      </c>
      <c r="X421">
        <v>0</v>
      </c>
      <c r="Y421">
        <f t="shared" si="31"/>
        <v>0</v>
      </c>
      <c r="Z421">
        <f t="shared" si="32"/>
        <v>26.963999999999999</v>
      </c>
      <c r="AA421">
        <f t="shared" si="33"/>
        <v>26.963999999999999</v>
      </c>
      <c r="AB421">
        <f t="shared" si="34"/>
        <v>66.870719999999992</v>
      </c>
    </row>
    <row r="422" spans="1:28" ht="25.5" x14ac:dyDescent="0.25">
      <c r="A422" s="7">
        <v>421</v>
      </c>
      <c r="B422" s="7" t="s">
        <v>15</v>
      </c>
      <c r="C422" s="7" t="s">
        <v>85</v>
      </c>
      <c r="D422" s="7" t="s">
        <v>518</v>
      </c>
      <c r="E422" s="7"/>
      <c r="F422" s="8"/>
      <c r="G422" s="7" t="s">
        <v>518</v>
      </c>
      <c r="H422" s="9">
        <v>36.841894000000003</v>
      </c>
      <c r="I422" s="9">
        <v>9.8270540000000004</v>
      </c>
      <c r="J422" s="7" t="s">
        <v>87</v>
      </c>
      <c r="K422" s="7" t="s">
        <v>37</v>
      </c>
      <c r="L422" s="7"/>
      <c r="M422" s="10">
        <v>2.0699999999999998</v>
      </c>
      <c r="N422" s="7" t="s">
        <v>38</v>
      </c>
      <c r="O422" s="7"/>
      <c r="P422" s="8" t="s">
        <v>39</v>
      </c>
      <c r="Q422">
        <v>2.29</v>
      </c>
      <c r="R422">
        <v>17.399999999999999</v>
      </c>
      <c r="S422" t="s">
        <v>53</v>
      </c>
      <c r="T422">
        <v>18</v>
      </c>
      <c r="U422">
        <f t="shared" si="30"/>
        <v>41.22</v>
      </c>
      <c r="V422">
        <v>1.1499999999999999</v>
      </c>
      <c r="W422">
        <v>160</v>
      </c>
      <c r="X422">
        <v>0.35</v>
      </c>
      <c r="Y422">
        <f t="shared" si="31"/>
        <v>56</v>
      </c>
      <c r="Z422">
        <f t="shared" si="32"/>
        <v>47.402999999999992</v>
      </c>
      <c r="AA422">
        <f t="shared" si="33"/>
        <v>0</v>
      </c>
      <c r="AB422">
        <f t="shared" si="34"/>
        <v>0</v>
      </c>
    </row>
    <row r="423" spans="1:28" ht="25.5" x14ac:dyDescent="0.25">
      <c r="A423" s="7">
        <v>422</v>
      </c>
      <c r="B423" s="7" t="s">
        <v>15</v>
      </c>
      <c r="C423" s="7" t="s">
        <v>88</v>
      </c>
      <c r="D423" s="7" t="s">
        <v>519</v>
      </c>
      <c r="E423" s="7"/>
      <c r="F423" s="8"/>
      <c r="G423" s="7" t="s">
        <v>519</v>
      </c>
      <c r="H423" s="9">
        <v>33.810046999999997</v>
      </c>
      <c r="I423" s="9">
        <v>10.988147</v>
      </c>
      <c r="J423" s="7" t="s">
        <v>90</v>
      </c>
      <c r="K423" s="7" t="s">
        <v>37</v>
      </c>
      <c r="L423" s="7"/>
      <c r="M423" s="10">
        <v>6.69</v>
      </c>
      <c r="N423" s="7" t="s">
        <v>44</v>
      </c>
      <c r="O423" s="7"/>
      <c r="P423" s="8" t="s">
        <v>39</v>
      </c>
      <c r="Q423">
        <v>4.54</v>
      </c>
      <c r="R423">
        <v>34.5</v>
      </c>
      <c r="S423" t="s">
        <v>58</v>
      </c>
      <c r="T423">
        <v>18</v>
      </c>
      <c r="U423">
        <f t="shared" si="30"/>
        <v>81.72</v>
      </c>
      <c r="V423">
        <v>0.9</v>
      </c>
      <c r="W423">
        <v>120</v>
      </c>
      <c r="X423">
        <v>0.35</v>
      </c>
      <c r="Y423">
        <f t="shared" si="31"/>
        <v>42</v>
      </c>
      <c r="Z423">
        <f t="shared" si="32"/>
        <v>73.548000000000002</v>
      </c>
      <c r="AA423">
        <f t="shared" si="33"/>
        <v>31.548000000000002</v>
      </c>
      <c r="AB423">
        <f t="shared" si="34"/>
        <v>211.05612000000002</v>
      </c>
    </row>
    <row r="424" spans="1:28" ht="25.5" x14ac:dyDescent="0.25">
      <c r="A424" s="7">
        <v>423</v>
      </c>
      <c r="B424" s="7" t="s">
        <v>15</v>
      </c>
      <c r="C424" s="7" t="s">
        <v>92</v>
      </c>
      <c r="D424" s="7" t="s">
        <v>520</v>
      </c>
      <c r="E424" s="7"/>
      <c r="F424" s="8"/>
      <c r="G424" s="7" t="s">
        <v>520</v>
      </c>
      <c r="H424" s="9">
        <v>35.626641999999997</v>
      </c>
      <c r="I424" s="9">
        <v>10.731353</v>
      </c>
      <c r="J424" s="7" t="s">
        <v>94</v>
      </c>
      <c r="K424" s="7" t="s">
        <v>37</v>
      </c>
      <c r="L424" s="7"/>
      <c r="M424" s="10">
        <v>23.77</v>
      </c>
      <c r="N424" s="7" t="s">
        <v>48</v>
      </c>
      <c r="O424" s="7"/>
      <c r="P424" s="8" t="s">
        <v>39</v>
      </c>
      <c r="Q424">
        <v>6.22</v>
      </c>
      <c r="R424">
        <v>33</v>
      </c>
      <c r="S424" t="s">
        <v>58</v>
      </c>
      <c r="T424">
        <v>16</v>
      </c>
      <c r="U424">
        <f t="shared" si="30"/>
        <v>99.52</v>
      </c>
      <c r="V424">
        <v>0.81</v>
      </c>
      <c r="W424">
        <v>0</v>
      </c>
      <c r="X424">
        <v>0</v>
      </c>
      <c r="Y424">
        <f t="shared" si="31"/>
        <v>0</v>
      </c>
      <c r="Z424">
        <f t="shared" si="32"/>
        <v>80.611199999999997</v>
      </c>
      <c r="AA424">
        <f t="shared" si="33"/>
        <v>80.611199999999997</v>
      </c>
      <c r="AB424">
        <f t="shared" si="34"/>
        <v>1916.1282239999998</v>
      </c>
    </row>
    <row r="425" spans="1:28" ht="25.5" x14ac:dyDescent="0.25">
      <c r="A425" s="7">
        <v>424</v>
      </c>
      <c r="B425" s="7" t="s">
        <v>15</v>
      </c>
      <c r="C425" s="7" t="s">
        <v>95</v>
      </c>
      <c r="D425" s="7" t="s">
        <v>521</v>
      </c>
      <c r="E425" s="7"/>
      <c r="F425" s="8"/>
      <c r="G425" s="7" t="s">
        <v>521</v>
      </c>
      <c r="H425" s="9">
        <v>36.569462999999999</v>
      </c>
      <c r="I425" s="9">
        <v>10.854373000000001</v>
      </c>
      <c r="J425" s="7" t="s">
        <v>97</v>
      </c>
      <c r="K425" s="7" t="s">
        <v>37</v>
      </c>
      <c r="L425" s="7"/>
      <c r="M425" s="10">
        <v>6.54</v>
      </c>
      <c r="N425" s="7" t="s">
        <v>52</v>
      </c>
      <c r="O425" s="7"/>
      <c r="P425" s="8" t="s">
        <v>39</v>
      </c>
      <c r="Q425">
        <v>4.0199999999999996</v>
      </c>
      <c r="R425">
        <v>36.9</v>
      </c>
      <c r="S425" t="s">
        <v>40</v>
      </c>
      <c r="T425">
        <v>12</v>
      </c>
      <c r="U425">
        <f t="shared" si="30"/>
        <v>48.239999999999995</v>
      </c>
      <c r="V425">
        <v>0.66</v>
      </c>
      <c r="W425">
        <v>0</v>
      </c>
      <c r="X425">
        <v>0</v>
      </c>
      <c r="Y425">
        <f t="shared" si="31"/>
        <v>0</v>
      </c>
      <c r="Z425">
        <f t="shared" si="32"/>
        <v>31.838399999999996</v>
      </c>
      <c r="AA425">
        <f t="shared" si="33"/>
        <v>31.838399999999996</v>
      </c>
      <c r="AB425">
        <f t="shared" si="34"/>
        <v>208.22313599999998</v>
      </c>
    </row>
    <row r="426" spans="1:28" ht="25.5" x14ac:dyDescent="0.25">
      <c r="A426" s="7">
        <v>425</v>
      </c>
      <c r="B426" s="7" t="s">
        <v>15</v>
      </c>
      <c r="C426" s="7" t="s">
        <v>98</v>
      </c>
      <c r="D426" s="7" t="s">
        <v>522</v>
      </c>
      <c r="E426" s="7"/>
      <c r="F426" s="8"/>
      <c r="G426" s="7" t="s">
        <v>522</v>
      </c>
      <c r="H426" s="9">
        <v>34.743028000000002</v>
      </c>
      <c r="I426" s="9">
        <v>10.499575</v>
      </c>
      <c r="J426" s="7" t="s">
        <v>100</v>
      </c>
      <c r="K426" s="7" t="s">
        <v>37</v>
      </c>
      <c r="L426" s="7"/>
      <c r="M426" s="10">
        <v>19.62</v>
      </c>
      <c r="N426" s="7" t="s">
        <v>57</v>
      </c>
      <c r="O426" s="7"/>
      <c r="P426" s="8" t="s">
        <v>39</v>
      </c>
      <c r="Q426">
        <v>2.65</v>
      </c>
      <c r="R426">
        <v>30.7</v>
      </c>
      <c r="S426" t="s">
        <v>58</v>
      </c>
      <c r="T426">
        <v>8</v>
      </c>
      <c r="U426">
        <f t="shared" si="30"/>
        <v>21.2</v>
      </c>
      <c r="V426">
        <v>1.08</v>
      </c>
      <c r="W426">
        <v>0</v>
      </c>
      <c r="X426">
        <v>0</v>
      </c>
      <c r="Y426">
        <f t="shared" si="31"/>
        <v>0</v>
      </c>
      <c r="Z426">
        <f t="shared" si="32"/>
        <v>22.896000000000001</v>
      </c>
      <c r="AA426">
        <f t="shared" si="33"/>
        <v>22.896000000000001</v>
      </c>
      <c r="AB426">
        <f t="shared" si="34"/>
        <v>449.21952000000005</v>
      </c>
    </row>
    <row r="427" spans="1:28" ht="25.5" x14ac:dyDescent="0.25">
      <c r="A427" s="7">
        <v>426</v>
      </c>
      <c r="B427" s="7" t="s">
        <v>15</v>
      </c>
      <c r="C427" s="7" t="s">
        <v>101</v>
      </c>
      <c r="D427" s="7" t="s">
        <v>523</v>
      </c>
      <c r="E427" s="7"/>
      <c r="F427" s="8"/>
      <c r="G427" s="7" t="s">
        <v>523</v>
      </c>
      <c r="H427" s="9">
        <v>34.919074999999999</v>
      </c>
      <c r="I427" s="9">
        <v>9.7593650000000007</v>
      </c>
      <c r="J427" s="7" t="s">
        <v>103</v>
      </c>
      <c r="K427" s="7" t="s">
        <v>37</v>
      </c>
      <c r="L427" s="7"/>
      <c r="M427" s="10">
        <v>13.3</v>
      </c>
      <c r="N427" s="7" t="s">
        <v>62</v>
      </c>
      <c r="O427" s="7"/>
      <c r="P427" s="8" t="s">
        <v>39</v>
      </c>
      <c r="Q427">
        <v>4.3600000000000003</v>
      </c>
      <c r="R427">
        <v>27.2</v>
      </c>
      <c r="S427" t="s">
        <v>58</v>
      </c>
      <c r="T427">
        <v>7</v>
      </c>
      <c r="U427">
        <f t="shared" si="30"/>
        <v>30.520000000000003</v>
      </c>
      <c r="V427">
        <v>0.99</v>
      </c>
      <c r="W427">
        <v>160</v>
      </c>
      <c r="X427">
        <v>0.35</v>
      </c>
      <c r="Y427">
        <f t="shared" si="31"/>
        <v>56</v>
      </c>
      <c r="Z427">
        <f t="shared" si="32"/>
        <v>30.214800000000004</v>
      </c>
      <c r="AA427">
        <f t="shared" si="33"/>
        <v>0</v>
      </c>
      <c r="AB427">
        <f t="shared" si="34"/>
        <v>0</v>
      </c>
    </row>
    <row r="428" spans="1:28" ht="25.5" x14ac:dyDescent="0.25">
      <c r="A428" s="7">
        <v>427</v>
      </c>
      <c r="B428" s="7" t="s">
        <v>15</v>
      </c>
      <c r="C428" s="7" t="s">
        <v>104</v>
      </c>
      <c r="D428" s="7" t="s">
        <v>524</v>
      </c>
      <c r="E428" s="7"/>
      <c r="F428" s="8"/>
      <c r="G428" s="7" t="s">
        <v>524</v>
      </c>
      <c r="H428" s="9">
        <v>35.845931999999998</v>
      </c>
      <c r="I428" s="9">
        <v>9.1924840000000003</v>
      </c>
      <c r="J428" s="7" t="s">
        <v>106</v>
      </c>
      <c r="K428" s="7" t="s">
        <v>37</v>
      </c>
      <c r="L428" s="7"/>
      <c r="M428" s="10">
        <v>7.86</v>
      </c>
      <c r="N428" s="7" t="s">
        <v>66</v>
      </c>
      <c r="O428" s="7"/>
      <c r="P428" s="8" t="s">
        <v>39</v>
      </c>
      <c r="Q428">
        <v>1.81</v>
      </c>
      <c r="R428">
        <v>22.5</v>
      </c>
      <c r="S428" t="s">
        <v>53</v>
      </c>
      <c r="T428">
        <v>10</v>
      </c>
      <c r="U428">
        <f t="shared" si="30"/>
        <v>18.100000000000001</v>
      </c>
      <c r="V428">
        <v>0.92</v>
      </c>
      <c r="W428">
        <v>80</v>
      </c>
      <c r="X428">
        <v>0.35</v>
      </c>
      <c r="Y428">
        <f t="shared" si="31"/>
        <v>28</v>
      </c>
      <c r="Z428">
        <f t="shared" si="32"/>
        <v>16.652000000000001</v>
      </c>
      <c r="AA428">
        <f t="shared" si="33"/>
        <v>0</v>
      </c>
      <c r="AB428">
        <f t="shared" si="34"/>
        <v>0</v>
      </c>
    </row>
    <row r="429" spans="1:28" ht="25.5" x14ac:dyDescent="0.25">
      <c r="A429" s="7">
        <v>428</v>
      </c>
      <c r="B429" s="7" t="s">
        <v>15</v>
      </c>
      <c r="C429" s="7" t="s">
        <v>107</v>
      </c>
      <c r="D429" s="7" t="s">
        <v>525</v>
      </c>
      <c r="E429" s="7"/>
      <c r="F429" s="8"/>
      <c r="G429" s="7" t="s">
        <v>525</v>
      </c>
      <c r="H429" s="9">
        <v>36.145423999999998</v>
      </c>
      <c r="I429" s="9">
        <v>10.405284</v>
      </c>
      <c r="J429" s="7" t="s">
        <v>109</v>
      </c>
      <c r="K429" s="7" t="s">
        <v>37</v>
      </c>
      <c r="L429" s="7"/>
      <c r="M429" s="10">
        <v>11.5</v>
      </c>
      <c r="N429" s="7" t="s">
        <v>70</v>
      </c>
      <c r="O429" s="7"/>
      <c r="P429" s="8" t="s">
        <v>39</v>
      </c>
      <c r="Q429">
        <v>7.74</v>
      </c>
      <c r="R429">
        <v>18.600000000000001</v>
      </c>
      <c r="S429" t="s">
        <v>53</v>
      </c>
      <c r="T429">
        <v>9</v>
      </c>
      <c r="U429">
        <f t="shared" si="30"/>
        <v>69.66</v>
      </c>
      <c r="V429">
        <v>1.03</v>
      </c>
      <c r="W429">
        <v>80</v>
      </c>
      <c r="X429">
        <v>0.35</v>
      </c>
      <c r="Y429">
        <f t="shared" si="31"/>
        <v>28</v>
      </c>
      <c r="Z429">
        <f t="shared" si="32"/>
        <v>71.749799999999993</v>
      </c>
      <c r="AA429">
        <f t="shared" si="33"/>
        <v>43.749799999999993</v>
      </c>
      <c r="AB429">
        <f t="shared" si="34"/>
        <v>503.1226999999999</v>
      </c>
    </row>
    <row r="430" spans="1:28" ht="25.5" x14ac:dyDescent="0.25">
      <c r="A430" s="7">
        <v>429</v>
      </c>
      <c r="B430" s="7" t="s">
        <v>15</v>
      </c>
      <c r="C430" s="7" t="s">
        <v>110</v>
      </c>
      <c r="D430" s="7" t="s">
        <v>526</v>
      </c>
      <c r="E430" s="7"/>
      <c r="F430" s="8"/>
      <c r="G430" s="7" t="s">
        <v>526</v>
      </c>
      <c r="H430" s="9">
        <v>33.144278</v>
      </c>
      <c r="I430" s="9">
        <v>10.229145000000001</v>
      </c>
      <c r="J430" s="7" t="s">
        <v>112</v>
      </c>
      <c r="K430" s="7" t="s">
        <v>37</v>
      </c>
      <c r="L430" s="7"/>
      <c r="M430" s="10">
        <v>24.87</v>
      </c>
      <c r="N430" s="7" t="s">
        <v>74</v>
      </c>
      <c r="O430" s="7"/>
      <c r="P430" s="8" t="s">
        <v>39</v>
      </c>
      <c r="Q430">
        <v>6.79</v>
      </c>
      <c r="R430">
        <v>12.2</v>
      </c>
      <c r="S430" t="s">
        <v>91</v>
      </c>
      <c r="T430">
        <v>10</v>
      </c>
      <c r="U430">
        <f t="shared" si="30"/>
        <v>67.900000000000006</v>
      </c>
      <c r="V430">
        <v>1.22</v>
      </c>
      <c r="W430">
        <v>0</v>
      </c>
      <c r="X430">
        <v>0</v>
      </c>
      <c r="Y430">
        <f t="shared" si="31"/>
        <v>0</v>
      </c>
      <c r="Z430">
        <f t="shared" si="32"/>
        <v>82.838000000000008</v>
      </c>
      <c r="AA430">
        <f t="shared" si="33"/>
        <v>82.838000000000008</v>
      </c>
      <c r="AB430">
        <f t="shared" si="34"/>
        <v>2060.1810600000003</v>
      </c>
    </row>
    <row r="431" spans="1:28" ht="25.5" x14ac:dyDescent="0.25">
      <c r="A431" s="7">
        <v>430</v>
      </c>
      <c r="B431" s="7" t="s">
        <v>15</v>
      </c>
      <c r="C431" s="7" t="s">
        <v>113</v>
      </c>
      <c r="D431" s="7" t="s">
        <v>527</v>
      </c>
      <c r="E431" s="7"/>
      <c r="F431" s="8"/>
      <c r="G431" s="7" t="s">
        <v>527</v>
      </c>
      <c r="H431" s="9">
        <v>33.862540000000003</v>
      </c>
      <c r="I431" s="9">
        <v>7.8591069999999998</v>
      </c>
      <c r="J431" s="7" t="s">
        <v>115</v>
      </c>
      <c r="K431" s="7" t="s">
        <v>37</v>
      </c>
      <c r="L431" s="7"/>
      <c r="M431" s="10">
        <v>23.42</v>
      </c>
      <c r="N431" s="7" t="s">
        <v>78</v>
      </c>
      <c r="O431" s="7"/>
      <c r="P431" s="8" t="s">
        <v>39</v>
      </c>
      <c r="Q431">
        <v>7.38</v>
      </c>
      <c r="R431">
        <v>26.6</v>
      </c>
      <c r="S431" t="s">
        <v>58</v>
      </c>
      <c r="T431">
        <v>14</v>
      </c>
      <c r="U431">
        <f t="shared" si="30"/>
        <v>103.32</v>
      </c>
      <c r="V431">
        <v>0.9</v>
      </c>
      <c r="W431">
        <v>80</v>
      </c>
      <c r="X431">
        <v>0.35</v>
      </c>
      <c r="Y431">
        <f t="shared" si="31"/>
        <v>28</v>
      </c>
      <c r="Z431">
        <f t="shared" si="32"/>
        <v>92.988</v>
      </c>
      <c r="AA431">
        <f t="shared" si="33"/>
        <v>64.988</v>
      </c>
      <c r="AB431">
        <f t="shared" si="34"/>
        <v>1522.0189600000001</v>
      </c>
    </row>
    <row r="432" spans="1:28" ht="25.5" x14ac:dyDescent="0.25">
      <c r="A432" s="7">
        <v>431</v>
      </c>
      <c r="B432" s="7" t="s">
        <v>15</v>
      </c>
      <c r="C432" s="7" t="s">
        <v>116</v>
      </c>
      <c r="D432" s="7" t="s">
        <v>528</v>
      </c>
      <c r="E432" s="7"/>
      <c r="F432" s="8"/>
      <c r="G432" s="7" t="s">
        <v>528</v>
      </c>
      <c r="H432" s="9">
        <v>36.828203000000002</v>
      </c>
      <c r="I432" s="9">
        <v>10.326158</v>
      </c>
      <c r="J432" s="7" t="s">
        <v>118</v>
      </c>
      <c r="K432" s="7" t="s">
        <v>37</v>
      </c>
      <c r="L432" s="7"/>
      <c r="M432" s="10">
        <v>19.23</v>
      </c>
      <c r="N432" s="7" t="s">
        <v>38</v>
      </c>
      <c r="O432" s="7"/>
      <c r="P432" s="8" t="s">
        <v>39</v>
      </c>
      <c r="Q432">
        <v>4.2</v>
      </c>
      <c r="R432">
        <v>32.299999999999997</v>
      </c>
      <c r="S432" t="s">
        <v>58</v>
      </c>
      <c r="T432">
        <v>18</v>
      </c>
      <c r="U432">
        <f t="shared" si="30"/>
        <v>75.600000000000009</v>
      </c>
      <c r="V432">
        <v>0.9</v>
      </c>
      <c r="W432">
        <v>0</v>
      </c>
      <c r="X432">
        <v>0</v>
      </c>
      <c r="Y432">
        <f t="shared" si="31"/>
        <v>0</v>
      </c>
      <c r="Z432">
        <f t="shared" si="32"/>
        <v>68.040000000000006</v>
      </c>
      <c r="AA432">
        <f t="shared" si="33"/>
        <v>68.040000000000006</v>
      </c>
      <c r="AB432">
        <f t="shared" si="34"/>
        <v>1308.4092000000001</v>
      </c>
    </row>
    <row r="433" spans="1:28" ht="25.5" x14ac:dyDescent="0.25">
      <c r="A433" s="7">
        <v>432</v>
      </c>
      <c r="B433" s="7" t="s">
        <v>15</v>
      </c>
      <c r="C433" s="7" t="s">
        <v>119</v>
      </c>
      <c r="D433" s="7" t="s">
        <v>529</v>
      </c>
      <c r="E433" s="7"/>
      <c r="F433" s="8"/>
      <c r="G433" s="7" t="s">
        <v>529</v>
      </c>
      <c r="H433" s="9">
        <v>36.383003000000002</v>
      </c>
      <c r="I433" s="9">
        <v>9.6378540000000008</v>
      </c>
      <c r="J433" s="7" t="s">
        <v>121</v>
      </c>
      <c r="K433" s="7" t="s">
        <v>37</v>
      </c>
      <c r="L433" s="7"/>
      <c r="M433" s="10">
        <v>4.63</v>
      </c>
      <c r="N433" s="7" t="s">
        <v>44</v>
      </c>
      <c r="O433" s="7"/>
      <c r="P433" s="8" t="s">
        <v>39</v>
      </c>
      <c r="Q433">
        <v>2.78</v>
      </c>
      <c r="R433">
        <v>24.3</v>
      </c>
      <c r="S433" t="s">
        <v>53</v>
      </c>
      <c r="T433">
        <v>18</v>
      </c>
      <c r="U433">
        <f t="shared" si="30"/>
        <v>50.04</v>
      </c>
      <c r="V433">
        <v>1.1499999999999999</v>
      </c>
      <c r="W433">
        <v>160</v>
      </c>
      <c r="X433">
        <v>0.35</v>
      </c>
      <c r="Y433">
        <f t="shared" si="31"/>
        <v>56</v>
      </c>
      <c r="Z433">
        <f t="shared" si="32"/>
        <v>57.545999999999992</v>
      </c>
      <c r="AA433">
        <f t="shared" si="33"/>
        <v>1.5459999999999923</v>
      </c>
      <c r="AB433">
        <f t="shared" si="34"/>
        <v>7.1579799999999638</v>
      </c>
    </row>
    <row r="434" spans="1:28" ht="25.5" x14ac:dyDescent="0.25">
      <c r="A434" s="7">
        <v>433</v>
      </c>
      <c r="B434" s="7" t="s">
        <v>15</v>
      </c>
      <c r="C434" s="7" t="s">
        <v>34</v>
      </c>
      <c r="D434" s="7" t="s">
        <v>530</v>
      </c>
      <c r="E434" s="7"/>
      <c r="F434" s="8"/>
      <c r="G434" s="7" t="s">
        <v>530</v>
      </c>
      <c r="H434" s="9">
        <v>36.898519999999998</v>
      </c>
      <c r="I434" s="9">
        <v>10.247657999999999</v>
      </c>
      <c r="J434" s="7" t="s">
        <v>36</v>
      </c>
      <c r="K434" s="7" t="s">
        <v>37</v>
      </c>
      <c r="L434" s="7"/>
      <c r="M434" s="10">
        <v>23.47</v>
      </c>
      <c r="N434" s="7" t="s">
        <v>48</v>
      </c>
      <c r="O434" s="7"/>
      <c r="P434" s="8" t="s">
        <v>39</v>
      </c>
      <c r="Q434">
        <v>4.42</v>
      </c>
      <c r="R434">
        <v>16.399999999999999</v>
      </c>
      <c r="S434" t="s">
        <v>53</v>
      </c>
      <c r="T434">
        <v>16</v>
      </c>
      <c r="U434">
        <f t="shared" si="30"/>
        <v>70.72</v>
      </c>
      <c r="V434">
        <v>1.03</v>
      </c>
      <c r="W434">
        <v>0</v>
      </c>
      <c r="X434">
        <v>0</v>
      </c>
      <c r="Y434">
        <f t="shared" si="31"/>
        <v>0</v>
      </c>
      <c r="Z434">
        <f t="shared" si="32"/>
        <v>72.8416</v>
      </c>
      <c r="AA434">
        <f t="shared" si="33"/>
        <v>72.8416</v>
      </c>
      <c r="AB434">
        <f t="shared" si="34"/>
        <v>1709.5923519999999</v>
      </c>
    </row>
    <row r="435" spans="1:28" ht="25.5" x14ac:dyDescent="0.25">
      <c r="A435" s="7">
        <v>434</v>
      </c>
      <c r="B435" s="7" t="s">
        <v>15</v>
      </c>
      <c r="C435" s="7" t="s">
        <v>41</v>
      </c>
      <c r="D435" s="7" t="s">
        <v>531</v>
      </c>
      <c r="E435" s="7"/>
      <c r="F435" s="8"/>
      <c r="G435" s="7" t="s">
        <v>531</v>
      </c>
      <c r="H435" s="9">
        <v>36.626910000000002</v>
      </c>
      <c r="I435" s="9">
        <v>9.6056229999999996</v>
      </c>
      <c r="J435" s="7" t="s">
        <v>43</v>
      </c>
      <c r="K435" s="7" t="s">
        <v>37</v>
      </c>
      <c r="L435" s="7"/>
      <c r="M435" s="10">
        <v>3.45</v>
      </c>
      <c r="N435" s="7" t="s">
        <v>52</v>
      </c>
      <c r="O435" s="7"/>
      <c r="P435" s="8" t="s">
        <v>39</v>
      </c>
      <c r="Q435">
        <v>2.4900000000000002</v>
      </c>
      <c r="R435">
        <v>42.3</v>
      </c>
      <c r="S435" t="s">
        <v>40</v>
      </c>
      <c r="T435">
        <v>12</v>
      </c>
      <c r="U435">
        <f t="shared" si="30"/>
        <v>29.880000000000003</v>
      </c>
      <c r="V435">
        <v>0.66</v>
      </c>
      <c r="W435">
        <v>0</v>
      </c>
      <c r="X435">
        <v>0</v>
      </c>
      <c r="Y435">
        <f t="shared" si="31"/>
        <v>0</v>
      </c>
      <c r="Z435">
        <f t="shared" si="32"/>
        <v>19.720800000000004</v>
      </c>
      <c r="AA435">
        <f t="shared" si="33"/>
        <v>19.720800000000004</v>
      </c>
      <c r="AB435">
        <f t="shared" si="34"/>
        <v>68.036760000000015</v>
      </c>
    </row>
    <row r="436" spans="1:28" ht="25.5" x14ac:dyDescent="0.25">
      <c r="A436" s="7">
        <v>435</v>
      </c>
      <c r="B436" s="7" t="s">
        <v>15</v>
      </c>
      <c r="C436" s="7" t="s">
        <v>45</v>
      </c>
      <c r="D436" s="7" t="s">
        <v>532</v>
      </c>
      <c r="E436" s="7"/>
      <c r="F436" s="8"/>
      <c r="G436" s="7" t="s">
        <v>532</v>
      </c>
      <c r="H436" s="9">
        <v>36.596058999999997</v>
      </c>
      <c r="I436" s="9">
        <v>10.305244</v>
      </c>
      <c r="J436" s="7" t="s">
        <v>47</v>
      </c>
      <c r="K436" s="7" t="s">
        <v>37</v>
      </c>
      <c r="L436" s="7"/>
      <c r="M436" s="10">
        <v>9.57</v>
      </c>
      <c r="N436" s="7" t="s">
        <v>57</v>
      </c>
      <c r="O436" s="7"/>
      <c r="P436" s="8" t="s">
        <v>39</v>
      </c>
      <c r="Q436">
        <v>2.67</v>
      </c>
      <c r="R436">
        <v>32.5</v>
      </c>
      <c r="S436" t="s">
        <v>58</v>
      </c>
      <c r="T436">
        <v>8</v>
      </c>
      <c r="U436">
        <f t="shared" si="30"/>
        <v>21.36</v>
      </c>
      <c r="V436">
        <v>1.08</v>
      </c>
      <c r="W436">
        <v>50</v>
      </c>
      <c r="X436">
        <v>0.35</v>
      </c>
      <c r="Y436">
        <f t="shared" si="31"/>
        <v>17.5</v>
      </c>
      <c r="Z436">
        <f t="shared" si="32"/>
        <v>23.0688</v>
      </c>
      <c r="AA436">
        <f t="shared" si="33"/>
        <v>5.5687999999999995</v>
      </c>
      <c r="AB436">
        <f t="shared" si="34"/>
        <v>53.293416000000001</v>
      </c>
    </row>
    <row r="437" spans="1:28" ht="25.5" x14ac:dyDescent="0.25">
      <c r="A437" s="7">
        <v>436</v>
      </c>
      <c r="B437" s="7" t="s">
        <v>15</v>
      </c>
      <c r="C437" s="7" t="s">
        <v>49</v>
      </c>
      <c r="D437" s="7" t="s">
        <v>533</v>
      </c>
      <c r="E437" s="7"/>
      <c r="F437" s="8"/>
      <c r="G437" s="7" t="s">
        <v>533</v>
      </c>
      <c r="H437" s="9">
        <v>37.177816</v>
      </c>
      <c r="I437" s="9">
        <v>9.7753949999999996</v>
      </c>
      <c r="J437" s="7" t="s">
        <v>51</v>
      </c>
      <c r="K437" s="7" t="s">
        <v>37</v>
      </c>
      <c r="L437" s="7"/>
      <c r="M437" s="10">
        <v>21.39</v>
      </c>
      <c r="N437" s="7" t="s">
        <v>62</v>
      </c>
      <c r="O437" s="7"/>
      <c r="P437" s="8" t="s">
        <v>39</v>
      </c>
      <c r="Q437">
        <v>6.67</v>
      </c>
      <c r="R437">
        <v>15.7</v>
      </c>
      <c r="S437" t="s">
        <v>53</v>
      </c>
      <c r="T437">
        <v>7</v>
      </c>
      <c r="U437">
        <f t="shared" si="30"/>
        <v>46.69</v>
      </c>
      <c r="V437">
        <v>1.26</v>
      </c>
      <c r="W437">
        <v>80</v>
      </c>
      <c r="X437">
        <v>0.35</v>
      </c>
      <c r="Y437">
        <f t="shared" si="31"/>
        <v>28</v>
      </c>
      <c r="Z437">
        <f t="shared" si="32"/>
        <v>58.8294</v>
      </c>
      <c r="AA437">
        <f t="shared" si="33"/>
        <v>30.8294</v>
      </c>
      <c r="AB437">
        <f t="shared" si="34"/>
        <v>659.44086600000003</v>
      </c>
    </row>
    <row r="438" spans="1:28" ht="25.5" x14ac:dyDescent="0.25">
      <c r="A438" s="7">
        <v>437</v>
      </c>
      <c r="B438" s="7" t="s">
        <v>15</v>
      </c>
      <c r="C438" s="7" t="s">
        <v>54</v>
      </c>
      <c r="D438" s="7" t="s">
        <v>534</v>
      </c>
      <c r="E438" s="7"/>
      <c r="F438" s="8"/>
      <c r="G438" s="7" t="s">
        <v>534</v>
      </c>
      <c r="H438" s="9">
        <v>33.610208999999998</v>
      </c>
      <c r="I438" s="9">
        <v>10.301199</v>
      </c>
      <c r="J438" s="7" t="s">
        <v>56</v>
      </c>
      <c r="K438" s="7" t="s">
        <v>37</v>
      </c>
      <c r="L438" s="7"/>
      <c r="M438" s="10">
        <v>24.4</v>
      </c>
      <c r="N438" s="7" t="s">
        <v>66</v>
      </c>
      <c r="O438" s="7"/>
      <c r="P438" s="8" t="s">
        <v>39</v>
      </c>
      <c r="Q438">
        <v>7.59</v>
      </c>
      <c r="R438">
        <v>29.3</v>
      </c>
      <c r="S438" t="s">
        <v>58</v>
      </c>
      <c r="T438">
        <v>10</v>
      </c>
      <c r="U438">
        <f t="shared" si="30"/>
        <v>75.900000000000006</v>
      </c>
      <c r="V438">
        <v>0.72</v>
      </c>
      <c r="W438">
        <v>120</v>
      </c>
      <c r="X438">
        <v>0.35</v>
      </c>
      <c r="Y438">
        <f t="shared" si="31"/>
        <v>42</v>
      </c>
      <c r="Z438">
        <f t="shared" si="32"/>
        <v>54.648000000000003</v>
      </c>
      <c r="AA438">
        <f t="shared" si="33"/>
        <v>12.648000000000003</v>
      </c>
      <c r="AB438">
        <f t="shared" si="34"/>
        <v>308.61120000000005</v>
      </c>
    </row>
    <row r="439" spans="1:28" ht="25.5" x14ac:dyDescent="0.25">
      <c r="A439" s="7">
        <v>438</v>
      </c>
      <c r="B439" s="7" t="s">
        <v>15</v>
      </c>
      <c r="C439" s="7" t="s">
        <v>59</v>
      </c>
      <c r="D439" s="7" t="s">
        <v>535</v>
      </c>
      <c r="E439" s="7"/>
      <c r="F439" s="8"/>
      <c r="G439" s="7" t="s">
        <v>535</v>
      </c>
      <c r="H439" s="9">
        <v>34.314830999999998</v>
      </c>
      <c r="I439" s="9">
        <v>8.4208870000000005</v>
      </c>
      <c r="J439" s="7" t="s">
        <v>61</v>
      </c>
      <c r="K439" s="7" t="s">
        <v>37</v>
      </c>
      <c r="L439" s="7"/>
      <c r="M439" s="10">
        <v>17.75</v>
      </c>
      <c r="N439" s="7" t="s">
        <v>70</v>
      </c>
      <c r="O439" s="7"/>
      <c r="P439" s="8" t="s">
        <v>39</v>
      </c>
      <c r="Q439">
        <v>2.06</v>
      </c>
      <c r="R439">
        <v>34.9</v>
      </c>
      <c r="S439" t="s">
        <v>58</v>
      </c>
      <c r="T439">
        <v>9</v>
      </c>
      <c r="U439">
        <f t="shared" si="30"/>
        <v>18.54</v>
      </c>
      <c r="V439">
        <v>0.81</v>
      </c>
      <c r="W439">
        <v>0</v>
      </c>
      <c r="X439">
        <v>0</v>
      </c>
      <c r="Y439">
        <f t="shared" si="31"/>
        <v>0</v>
      </c>
      <c r="Z439">
        <f t="shared" si="32"/>
        <v>15.0174</v>
      </c>
      <c r="AA439">
        <f t="shared" si="33"/>
        <v>15.0174</v>
      </c>
      <c r="AB439">
        <f t="shared" si="34"/>
        <v>266.55885000000001</v>
      </c>
    </row>
    <row r="440" spans="1:28" ht="25.5" x14ac:dyDescent="0.25">
      <c r="A440" s="7">
        <v>439</v>
      </c>
      <c r="B440" s="7" t="s">
        <v>15</v>
      </c>
      <c r="C440" s="7" t="s">
        <v>63</v>
      </c>
      <c r="D440" s="7" t="s">
        <v>536</v>
      </c>
      <c r="E440" s="7"/>
      <c r="F440" s="8"/>
      <c r="G440" s="7" t="s">
        <v>536</v>
      </c>
      <c r="H440" s="9">
        <v>36.932530999999997</v>
      </c>
      <c r="I440" s="9">
        <v>8.7618469999999995</v>
      </c>
      <c r="J440" s="7" t="s">
        <v>65</v>
      </c>
      <c r="K440" s="7" t="s">
        <v>37</v>
      </c>
      <c r="L440" s="7"/>
      <c r="M440" s="10">
        <v>17.38</v>
      </c>
      <c r="N440" s="7" t="s">
        <v>74</v>
      </c>
      <c r="O440" s="7"/>
      <c r="P440" s="8" t="s">
        <v>39</v>
      </c>
      <c r="Q440">
        <v>7.8</v>
      </c>
      <c r="R440">
        <v>38.799999999999997</v>
      </c>
      <c r="S440" t="s">
        <v>40</v>
      </c>
      <c r="T440">
        <v>10</v>
      </c>
      <c r="U440">
        <f t="shared" si="30"/>
        <v>78</v>
      </c>
      <c r="V440">
        <v>0.54</v>
      </c>
      <c r="W440">
        <v>0</v>
      </c>
      <c r="X440">
        <v>0</v>
      </c>
      <c r="Y440">
        <f t="shared" si="31"/>
        <v>0</v>
      </c>
      <c r="Z440">
        <f t="shared" si="32"/>
        <v>42.120000000000005</v>
      </c>
      <c r="AA440">
        <f t="shared" si="33"/>
        <v>42.120000000000005</v>
      </c>
      <c r="AB440">
        <f t="shared" si="34"/>
        <v>732.04560000000004</v>
      </c>
    </row>
    <row r="441" spans="1:28" ht="25.5" x14ac:dyDescent="0.25">
      <c r="A441" s="7">
        <v>440</v>
      </c>
      <c r="B441" s="7" t="s">
        <v>15</v>
      </c>
      <c r="C441" s="7" t="s">
        <v>67</v>
      </c>
      <c r="D441" s="7" t="s">
        <v>537</v>
      </c>
      <c r="E441" s="7"/>
      <c r="F441" s="8"/>
      <c r="G441" s="7" t="s">
        <v>537</v>
      </c>
      <c r="H441" s="9">
        <v>35.596981</v>
      </c>
      <c r="I441" s="9">
        <v>9.9266860000000001</v>
      </c>
      <c r="J441" s="7" t="s">
        <v>69</v>
      </c>
      <c r="K441" s="7" t="s">
        <v>37</v>
      </c>
      <c r="L441" s="7"/>
      <c r="M441" s="10">
        <v>19.84</v>
      </c>
      <c r="N441" s="7" t="s">
        <v>78</v>
      </c>
      <c r="O441" s="7"/>
      <c r="P441" s="8" t="s">
        <v>39</v>
      </c>
      <c r="Q441">
        <v>3.69</v>
      </c>
      <c r="R441">
        <v>18.8</v>
      </c>
      <c r="S441" t="s">
        <v>53</v>
      </c>
      <c r="T441">
        <v>14</v>
      </c>
      <c r="U441">
        <f t="shared" si="30"/>
        <v>51.66</v>
      </c>
      <c r="V441">
        <v>1.1499999999999999</v>
      </c>
      <c r="W441">
        <v>50</v>
      </c>
      <c r="X441">
        <v>0.35</v>
      </c>
      <c r="Y441">
        <f t="shared" si="31"/>
        <v>17.5</v>
      </c>
      <c r="Z441">
        <f t="shared" si="32"/>
        <v>59.408999999999992</v>
      </c>
      <c r="AA441">
        <f t="shared" si="33"/>
        <v>41.908999999999992</v>
      </c>
      <c r="AB441">
        <f t="shared" si="34"/>
        <v>831.47455999999988</v>
      </c>
    </row>
    <row r="442" spans="1:28" ht="25.5" x14ac:dyDescent="0.25">
      <c r="A442" s="7">
        <v>441</v>
      </c>
      <c r="B442" s="7" t="s">
        <v>15</v>
      </c>
      <c r="C442" s="7" t="s">
        <v>71</v>
      </c>
      <c r="D442" s="7" t="s">
        <v>538</v>
      </c>
      <c r="E442" s="7"/>
      <c r="F442" s="8"/>
      <c r="G442" s="7" t="s">
        <v>538</v>
      </c>
      <c r="H442" s="9">
        <v>35.254517</v>
      </c>
      <c r="I442" s="9">
        <v>9.1269170000000006</v>
      </c>
      <c r="J442" s="7" t="s">
        <v>73</v>
      </c>
      <c r="K442" s="7" t="s">
        <v>37</v>
      </c>
      <c r="L442" s="7"/>
      <c r="M442" s="10">
        <v>14.92</v>
      </c>
      <c r="N442" s="7" t="s">
        <v>38</v>
      </c>
      <c r="O442" s="7"/>
      <c r="P442" s="8" t="s">
        <v>39</v>
      </c>
      <c r="Q442">
        <v>5.1100000000000003</v>
      </c>
      <c r="R442">
        <v>19.8</v>
      </c>
      <c r="S442" t="s">
        <v>53</v>
      </c>
      <c r="T442">
        <v>18</v>
      </c>
      <c r="U442">
        <f t="shared" si="30"/>
        <v>91.98</v>
      </c>
      <c r="V442">
        <v>1.1499999999999999</v>
      </c>
      <c r="W442">
        <v>0</v>
      </c>
      <c r="X442">
        <v>0</v>
      </c>
      <c r="Y442">
        <f t="shared" si="31"/>
        <v>0</v>
      </c>
      <c r="Z442">
        <f t="shared" si="32"/>
        <v>105.777</v>
      </c>
      <c r="AA442">
        <f t="shared" si="33"/>
        <v>105.777</v>
      </c>
      <c r="AB442">
        <f t="shared" si="34"/>
        <v>1578.1928399999999</v>
      </c>
    </row>
    <row r="443" spans="1:28" ht="25.5" x14ac:dyDescent="0.25">
      <c r="A443" s="7">
        <v>442</v>
      </c>
      <c r="B443" s="7" t="s">
        <v>15</v>
      </c>
      <c r="C443" s="7" t="s">
        <v>75</v>
      </c>
      <c r="D443" s="7" t="s">
        <v>539</v>
      </c>
      <c r="E443" s="7"/>
      <c r="F443" s="8"/>
      <c r="G443" s="7" t="s">
        <v>539</v>
      </c>
      <c r="H443" s="9">
        <v>33.479559999999999</v>
      </c>
      <c r="I443" s="9">
        <v>8.9922590000000007</v>
      </c>
      <c r="J443" s="7" t="s">
        <v>77</v>
      </c>
      <c r="K443" s="7" t="s">
        <v>37</v>
      </c>
      <c r="L443" s="7"/>
      <c r="M443" s="10">
        <v>17.71</v>
      </c>
      <c r="N443" s="7" t="s">
        <v>44</v>
      </c>
      <c r="O443" s="7"/>
      <c r="P443" s="8" t="s">
        <v>39</v>
      </c>
      <c r="Q443">
        <v>2.29</v>
      </c>
      <c r="R443">
        <v>17.2</v>
      </c>
      <c r="S443" t="s">
        <v>53</v>
      </c>
      <c r="T443">
        <v>18</v>
      </c>
      <c r="U443">
        <f t="shared" si="30"/>
        <v>41.22</v>
      </c>
      <c r="V443">
        <v>1.1499999999999999</v>
      </c>
      <c r="W443">
        <v>0</v>
      </c>
      <c r="X443">
        <v>0</v>
      </c>
      <c r="Y443">
        <f t="shared" si="31"/>
        <v>0</v>
      </c>
      <c r="Z443">
        <f t="shared" si="32"/>
        <v>47.402999999999992</v>
      </c>
      <c r="AA443">
        <f t="shared" si="33"/>
        <v>47.402999999999992</v>
      </c>
      <c r="AB443">
        <f t="shared" si="34"/>
        <v>839.50712999999985</v>
      </c>
    </row>
    <row r="444" spans="1:28" ht="25.5" x14ac:dyDescent="0.25">
      <c r="A444" s="7">
        <v>443</v>
      </c>
      <c r="B444" s="7" t="s">
        <v>15</v>
      </c>
      <c r="C444" s="7" t="s">
        <v>79</v>
      </c>
      <c r="D444" s="7" t="s">
        <v>540</v>
      </c>
      <c r="E444" s="7"/>
      <c r="F444" s="8"/>
      <c r="G444" s="7" t="s">
        <v>540</v>
      </c>
      <c r="H444" s="9">
        <v>35.952857999999999</v>
      </c>
      <c r="I444" s="9">
        <v>8.8107299999999995</v>
      </c>
      <c r="J444" s="7" t="s">
        <v>81</v>
      </c>
      <c r="K444" s="7" t="s">
        <v>37</v>
      </c>
      <c r="L444" s="7"/>
      <c r="M444" s="10">
        <v>1.5</v>
      </c>
      <c r="N444" s="7" t="s">
        <v>48</v>
      </c>
      <c r="O444" s="7"/>
      <c r="P444" s="8" t="s">
        <v>39</v>
      </c>
      <c r="Q444">
        <v>5.45</v>
      </c>
      <c r="R444">
        <v>18.8</v>
      </c>
      <c r="S444" t="s">
        <v>53</v>
      </c>
      <c r="T444">
        <v>16</v>
      </c>
      <c r="U444">
        <f t="shared" si="30"/>
        <v>87.2</v>
      </c>
      <c r="V444">
        <v>1.03</v>
      </c>
      <c r="W444">
        <v>160</v>
      </c>
      <c r="X444">
        <v>0.35</v>
      </c>
      <c r="Y444">
        <f t="shared" si="31"/>
        <v>56</v>
      </c>
      <c r="Z444">
        <f t="shared" si="32"/>
        <v>89.816000000000003</v>
      </c>
      <c r="AA444">
        <f t="shared" si="33"/>
        <v>33.816000000000003</v>
      </c>
      <c r="AB444">
        <f t="shared" si="34"/>
        <v>50.724000000000004</v>
      </c>
    </row>
    <row r="445" spans="1:28" ht="25.5" x14ac:dyDescent="0.25">
      <c r="A445" s="7">
        <v>444</v>
      </c>
      <c r="B445" s="7" t="s">
        <v>15</v>
      </c>
      <c r="C445" s="7" t="s">
        <v>82</v>
      </c>
      <c r="D445" s="7" t="s">
        <v>541</v>
      </c>
      <c r="E445" s="7"/>
      <c r="F445" s="8"/>
      <c r="G445" s="7" t="s">
        <v>541</v>
      </c>
      <c r="H445" s="9">
        <v>35.255941</v>
      </c>
      <c r="I445" s="9">
        <v>11.121516</v>
      </c>
      <c r="J445" s="7" t="s">
        <v>84</v>
      </c>
      <c r="K445" s="7" t="s">
        <v>37</v>
      </c>
      <c r="L445" s="7"/>
      <c r="M445" s="10">
        <v>21.41</v>
      </c>
      <c r="N445" s="7" t="s">
        <v>52</v>
      </c>
      <c r="O445" s="7"/>
      <c r="P445" s="8" t="s">
        <v>39</v>
      </c>
      <c r="Q445">
        <v>3.96</v>
      </c>
      <c r="R445">
        <v>22.3</v>
      </c>
      <c r="S445" t="s">
        <v>53</v>
      </c>
      <c r="T445">
        <v>12</v>
      </c>
      <c r="U445">
        <f t="shared" si="30"/>
        <v>47.519999999999996</v>
      </c>
      <c r="V445">
        <v>1.26</v>
      </c>
      <c r="W445">
        <v>0</v>
      </c>
      <c r="X445">
        <v>0</v>
      </c>
      <c r="Y445">
        <f t="shared" si="31"/>
        <v>0</v>
      </c>
      <c r="Z445">
        <f t="shared" si="32"/>
        <v>59.875199999999992</v>
      </c>
      <c r="AA445">
        <f t="shared" si="33"/>
        <v>59.875199999999992</v>
      </c>
      <c r="AB445">
        <f t="shared" si="34"/>
        <v>1281.9280319999998</v>
      </c>
    </row>
    <row r="446" spans="1:28" ht="25.5" x14ac:dyDescent="0.25">
      <c r="A446" s="7">
        <v>445</v>
      </c>
      <c r="B446" s="7" t="s">
        <v>15</v>
      </c>
      <c r="C446" s="7" t="s">
        <v>85</v>
      </c>
      <c r="D446" s="7" t="s">
        <v>542</v>
      </c>
      <c r="E446" s="7"/>
      <c r="F446" s="8"/>
      <c r="G446" s="7" t="s">
        <v>542</v>
      </c>
      <c r="H446" s="9">
        <v>36.834350999999998</v>
      </c>
      <c r="I446" s="9">
        <v>9.869408</v>
      </c>
      <c r="J446" s="7" t="s">
        <v>87</v>
      </c>
      <c r="K446" s="7" t="s">
        <v>37</v>
      </c>
      <c r="L446" s="7"/>
      <c r="M446" s="10">
        <v>3.46</v>
      </c>
      <c r="N446" s="7" t="s">
        <v>57</v>
      </c>
      <c r="O446" s="7"/>
      <c r="P446" s="8" t="s">
        <v>39</v>
      </c>
      <c r="Q446">
        <v>4.6399999999999997</v>
      </c>
      <c r="R446">
        <v>32.9</v>
      </c>
      <c r="S446" t="s">
        <v>58</v>
      </c>
      <c r="T446">
        <v>8</v>
      </c>
      <c r="U446">
        <f t="shared" si="30"/>
        <v>37.119999999999997</v>
      </c>
      <c r="V446">
        <v>1.08</v>
      </c>
      <c r="W446">
        <v>0</v>
      </c>
      <c r="X446">
        <v>0</v>
      </c>
      <c r="Y446">
        <f t="shared" si="31"/>
        <v>0</v>
      </c>
      <c r="Z446">
        <f t="shared" si="32"/>
        <v>40.089599999999997</v>
      </c>
      <c r="AA446">
        <f t="shared" si="33"/>
        <v>40.089599999999997</v>
      </c>
      <c r="AB446">
        <f t="shared" si="34"/>
        <v>138.710016</v>
      </c>
    </row>
    <row r="447" spans="1:28" ht="25.5" x14ac:dyDescent="0.25">
      <c r="A447" s="7">
        <v>446</v>
      </c>
      <c r="B447" s="7" t="s">
        <v>15</v>
      </c>
      <c r="C447" s="7" t="s">
        <v>88</v>
      </c>
      <c r="D447" s="7" t="s">
        <v>543</v>
      </c>
      <c r="E447" s="7"/>
      <c r="F447" s="8"/>
      <c r="G447" s="7" t="s">
        <v>543</v>
      </c>
      <c r="H447" s="9">
        <v>33.824196000000001</v>
      </c>
      <c r="I447" s="9">
        <v>10.990363</v>
      </c>
      <c r="J447" s="7" t="s">
        <v>90</v>
      </c>
      <c r="K447" s="7" t="s">
        <v>37</v>
      </c>
      <c r="L447" s="7"/>
      <c r="M447" s="10">
        <v>21.81</v>
      </c>
      <c r="N447" s="7" t="s">
        <v>62</v>
      </c>
      <c r="O447" s="7"/>
      <c r="P447" s="8" t="s">
        <v>39</v>
      </c>
      <c r="Q447">
        <v>5.61</v>
      </c>
      <c r="R447">
        <v>38.1</v>
      </c>
      <c r="S447" t="s">
        <v>40</v>
      </c>
      <c r="T447">
        <v>7</v>
      </c>
      <c r="U447">
        <f t="shared" si="30"/>
        <v>39.270000000000003</v>
      </c>
      <c r="V447">
        <v>0.66</v>
      </c>
      <c r="W447">
        <v>0</v>
      </c>
      <c r="X447">
        <v>0</v>
      </c>
      <c r="Y447">
        <f t="shared" si="31"/>
        <v>0</v>
      </c>
      <c r="Z447">
        <f t="shared" si="32"/>
        <v>25.918200000000002</v>
      </c>
      <c r="AA447">
        <f t="shared" si="33"/>
        <v>25.918200000000002</v>
      </c>
      <c r="AB447">
        <f t="shared" si="34"/>
        <v>565.27594199999999</v>
      </c>
    </row>
    <row r="448" spans="1:28" ht="25.5" x14ac:dyDescent="0.25">
      <c r="A448" s="7">
        <v>447</v>
      </c>
      <c r="B448" s="7" t="s">
        <v>15</v>
      </c>
      <c r="C448" s="7" t="s">
        <v>92</v>
      </c>
      <c r="D448" s="7" t="s">
        <v>544</v>
      </c>
      <c r="E448" s="7"/>
      <c r="F448" s="8"/>
      <c r="G448" s="7" t="s">
        <v>544</v>
      </c>
      <c r="H448" s="9">
        <v>35.621312000000003</v>
      </c>
      <c r="I448" s="9">
        <v>10.772535</v>
      </c>
      <c r="J448" s="7" t="s">
        <v>94</v>
      </c>
      <c r="K448" s="7" t="s">
        <v>37</v>
      </c>
      <c r="L448" s="7"/>
      <c r="M448" s="10">
        <v>10.47</v>
      </c>
      <c r="N448" s="7" t="s">
        <v>66</v>
      </c>
      <c r="O448" s="7"/>
      <c r="P448" s="8" t="s">
        <v>39</v>
      </c>
      <c r="Q448">
        <v>7.77</v>
      </c>
      <c r="R448">
        <v>38.799999999999997</v>
      </c>
      <c r="S448" t="s">
        <v>40</v>
      </c>
      <c r="T448">
        <v>10</v>
      </c>
      <c r="U448">
        <f t="shared" si="30"/>
        <v>77.699999999999989</v>
      </c>
      <c r="V448">
        <v>0.48</v>
      </c>
      <c r="W448">
        <v>80</v>
      </c>
      <c r="X448">
        <v>0.35</v>
      </c>
      <c r="Y448">
        <f t="shared" si="31"/>
        <v>28</v>
      </c>
      <c r="Z448">
        <f t="shared" si="32"/>
        <v>37.295999999999992</v>
      </c>
      <c r="AA448">
        <f t="shared" si="33"/>
        <v>9.2959999999999923</v>
      </c>
      <c r="AB448">
        <f t="shared" si="34"/>
        <v>97.329119999999918</v>
      </c>
    </row>
    <row r="449" spans="1:28" ht="25.5" x14ac:dyDescent="0.25">
      <c r="A449" s="7">
        <v>448</v>
      </c>
      <c r="B449" s="7" t="s">
        <v>15</v>
      </c>
      <c r="C449" s="7" t="s">
        <v>95</v>
      </c>
      <c r="D449" s="7" t="s">
        <v>545</v>
      </c>
      <c r="E449" s="7"/>
      <c r="F449" s="8"/>
      <c r="G449" s="7" t="s">
        <v>545</v>
      </c>
      <c r="H449" s="9">
        <v>36.559427999999997</v>
      </c>
      <c r="I449" s="9">
        <v>10.866956999999999</v>
      </c>
      <c r="J449" s="7" t="s">
        <v>97</v>
      </c>
      <c r="K449" s="7" t="s">
        <v>37</v>
      </c>
      <c r="L449" s="7"/>
      <c r="M449" s="10">
        <v>24.84</v>
      </c>
      <c r="N449" s="7" t="s">
        <v>70</v>
      </c>
      <c r="O449" s="7"/>
      <c r="P449" s="8" t="s">
        <v>39</v>
      </c>
      <c r="Q449">
        <v>2.99</v>
      </c>
      <c r="R449">
        <v>30.7</v>
      </c>
      <c r="S449" t="s">
        <v>58</v>
      </c>
      <c r="T449">
        <v>9</v>
      </c>
      <c r="U449">
        <f t="shared" si="30"/>
        <v>26.910000000000004</v>
      </c>
      <c r="V449">
        <v>0.81</v>
      </c>
      <c r="W449">
        <v>160</v>
      </c>
      <c r="X449">
        <v>0.35</v>
      </c>
      <c r="Y449">
        <f t="shared" si="31"/>
        <v>56</v>
      </c>
      <c r="Z449">
        <f t="shared" si="32"/>
        <v>21.797100000000004</v>
      </c>
      <c r="AA449">
        <f t="shared" si="33"/>
        <v>0</v>
      </c>
      <c r="AB449">
        <f t="shared" si="34"/>
        <v>0</v>
      </c>
    </row>
    <row r="450" spans="1:28" ht="25.5" x14ac:dyDescent="0.25">
      <c r="A450" s="7">
        <v>449</v>
      </c>
      <c r="B450" s="7" t="s">
        <v>15</v>
      </c>
      <c r="C450" s="7" t="s">
        <v>98</v>
      </c>
      <c r="D450" s="7" t="s">
        <v>546</v>
      </c>
      <c r="E450" s="7"/>
      <c r="F450" s="8"/>
      <c r="G450" s="7" t="s">
        <v>546</v>
      </c>
      <c r="H450" s="9">
        <v>34.743232999999996</v>
      </c>
      <c r="I450" s="9">
        <v>10.497318999999999</v>
      </c>
      <c r="J450" s="7" t="s">
        <v>100</v>
      </c>
      <c r="K450" s="7" t="s">
        <v>37</v>
      </c>
      <c r="L450" s="7"/>
      <c r="M450" s="10">
        <v>21.98</v>
      </c>
      <c r="N450" s="7" t="s">
        <v>74</v>
      </c>
      <c r="O450" s="7"/>
      <c r="P450" s="8" t="s">
        <v>39</v>
      </c>
      <c r="Q450">
        <v>2.29</v>
      </c>
      <c r="R450">
        <v>18.2</v>
      </c>
      <c r="S450" t="s">
        <v>53</v>
      </c>
      <c r="T450">
        <v>10</v>
      </c>
      <c r="U450">
        <f t="shared" ref="U450:U513" si="35">Q450*T450</f>
        <v>22.9</v>
      </c>
      <c r="V450">
        <v>1.03</v>
      </c>
      <c r="W450">
        <v>160</v>
      </c>
      <c r="X450">
        <v>0.35</v>
      </c>
      <c r="Y450">
        <f t="shared" ref="Y450:Y513" si="36">W450*X450</f>
        <v>56</v>
      </c>
      <c r="Z450">
        <f t="shared" ref="Z450:Z513" si="37">U450*V450</f>
        <v>23.587</v>
      </c>
      <c r="AA450">
        <f t="shared" ref="AA450:AA513" si="38">MAX(0,Z450-Y450)</f>
        <v>0</v>
      </c>
      <c r="AB450">
        <f t="shared" si="34"/>
        <v>0</v>
      </c>
    </row>
    <row r="451" spans="1:28" ht="25.5" x14ac:dyDescent="0.25">
      <c r="A451" s="7">
        <v>450</v>
      </c>
      <c r="B451" s="7" t="s">
        <v>15</v>
      </c>
      <c r="C451" s="7" t="s">
        <v>101</v>
      </c>
      <c r="D451" s="7" t="s">
        <v>547</v>
      </c>
      <c r="E451" s="7"/>
      <c r="F451" s="8"/>
      <c r="G451" s="7" t="s">
        <v>547</v>
      </c>
      <c r="H451" s="9">
        <v>34.914816999999999</v>
      </c>
      <c r="I451" s="9">
        <v>9.8032330000000005</v>
      </c>
      <c r="J451" s="7" t="s">
        <v>103</v>
      </c>
      <c r="K451" s="7" t="s">
        <v>37</v>
      </c>
      <c r="L451" s="7"/>
      <c r="M451" s="10">
        <v>7.46</v>
      </c>
      <c r="N451" s="7" t="s">
        <v>78</v>
      </c>
      <c r="O451" s="7"/>
      <c r="P451" s="8" t="s">
        <v>39</v>
      </c>
      <c r="Q451">
        <v>5.97</v>
      </c>
      <c r="R451">
        <v>28.4</v>
      </c>
      <c r="S451" t="s">
        <v>58</v>
      </c>
      <c r="T451">
        <v>14</v>
      </c>
      <c r="U451">
        <f t="shared" si="35"/>
        <v>83.58</v>
      </c>
      <c r="V451">
        <v>0.9</v>
      </c>
      <c r="W451">
        <v>80</v>
      </c>
      <c r="X451">
        <v>0.35</v>
      </c>
      <c r="Y451">
        <f t="shared" si="36"/>
        <v>28</v>
      </c>
      <c r="Z451">
        <f t="shared" si="37"/>
        <v>75.221999999999994</v>
      </c>
      <c r="AA451">
        <f t="shared" si="38"/>
        <v>47.221999999999994</v>
      </c>
      <c r="AB451">
        <f t="shared" ref="AB451:AB514" si="39">AA451*M451</f>
        <v>352.27611999999993</v>
      </c>
    </row>
    <row r="452" spans="1:28" ht="25.5" x14ac:dyDescent="0.25">
      <c r="A452" s="7">
        <v>451</v>
      </c>
      <c r="B452" s="7" t="s">
        <v>15</v>
      </c>
      <c r="C452" s="7" t="s">
        <v>104</v>
      </c>
      <c r="D452" s="7" t="s">
        <v>548</v>
      </c>
      <c r="E452" s="7"/>
      <c r="F452" s="8"/>
      <c r="G452" s="7" t="s">
        <v>548</v>
      </c>
      <c r="H452" s="9">
        <v>35.862054999999998</v>
      </c>
      <c r="I452" s="9">
        <v>9.1778040000000001</v>
      </c>
      <c r="J452" s="7" t="s">
        <v>106</v>
      </c>
      <c r="K452" s="7" t="s">
        <v>37</v>
      </c>
      <c r="L452" s="7"/>
      <c r="M452" s="10">
        <v>12.97</v>
      </c>
      <c r="N452" s="7" t="s">
        <v>38</v>
      </c>
      <c r="O452" s="7"/>
      <c r="P452" s="8" t="s">
        <v>39</v>
      </c>
      <c r="Q452">
        <v>3.06</v>
      </c>
      <c r="R452">
        <v>21.4</v>
      </c>
      <c r="S452" t="s">
        <v>53</v>
      </c>
      <c r="T452">
        <v>18</v>
      </c>
      <c r="U452">
        <f t="shared" si="35"/>
        <v>55.08</v>
      </c>
      <c r="V452">
        <v>1.1499999999999999</v>
      </c>
      <c r="W452">
        <v>80</v>
      </c>
      <c r="X452">
        <v>0.35</v>
      </c>
      <c r="Y452">
        <f t="shared" si="36"/>
        <v>28</v>
      </c>
      <c r="Z452">
        <f t="shared" si="37"/>
        <v>63.341999999999992</v>
      </c>
      <c r="AA452">
        <f t="shared" si="38"/>
        <v>35.341999999999992</v>
      </c>
      <c r="AB452">
        <f t="shared" si="39"/>
        <v>458.38573999999994</v>
      </c>
    </row>
    <row r="453" spans="1:28" ht="25.5" x14ac:dyDescent="0.25">
      <c r="A453" s="7">
        <v>452</v>
      </c>
      <c r="B453" s="7" t="s">
        <v>15</v>
      </c>
      <c r="C453" s="7" t="s">
        <v>107</v>
      </c>
      <c r="D453" s="7" t="s">
        <v>549</v>
      </c>
      <c r="E453" s="7"/>
      <c r="F453" s="8"/>
      <c r="G453" s="7" t="s">
        <v>549</v>
      </c>
      <c r="H453" s="9">
        <v>36.143202000000002</v>
      </c>
      <c r="I453" s="9">
        <v>10.399221000000001</v>
      </c>
      <c r="J453" s="7" t="s">
        <v>109</v>
      </c>
      <c r="K453" s="7" t="s">
        <v>37</v>
      </c>
      <c r="L453" s="7"/>
      <c r="M453" s="10">
        <v>2.52</v>
      </c>
      <c r="N453" s="7" t="s">
        <v>44</v>
      </c>
      <c r="O453" s="7"/>
      <c r="P453" s="8" t="s">
        <v>39</v>
      </c>
      <c r="Q453">
        <v>2</v>
      </c>
      <c r="R453">
        <v>27</v>
      </c>
      <c r="S453" t="s">
        <v>58</v>
      </c>
      <c r="T453">
        <v>18</v>
      </c>
      <c r="U453">
        <f t="shared" si="35"/>
        <v>36</v>
      </c>
      <c r="V453">
        <v>0.9</v>
      </c>
      <c r="W453">
        <v>0</v>
      </c>
      <c r="X453">
        <v>0</v>
      </c>
      <c r="Y453">
        <f t="shared" si="36"/>
        <v>0</v>
      </c>
      <c r="Z453">
        <f t="shared" si="37"/>
        <v>32.4</v>
      </c>
      <c r="AA453">
        <f t="shared" si="38"/>
        <v>32.4</v>
      </c>
      <c r="AB453">
        <f t="shared" si="39"/>
        <v>81.647999999999996</v>
      </c>
    </row>
    <row r="454" spans="1:28" ht="25.5" x14ac:dyDescent="0.25">
      <c r="A454" s="7">
        <v>453</v>
      </c>
      <c r="B454" s="7" t="s">
        <v>15</v>
      </c>
      <c r="C454" s="7" t="s">
        <v>110</v>
      </c>
      <c r="D454" s="7" t="s">
        <v>550</v>
      </c>
      <c r="E454" s="7"/>
      <c r="F454" s="8"/>
      <c r="G454" s="7" t="s">
        <v>550</v>
      </c>
      <c r="H454" s="9">
        <v>33.155811999999997</v>
      </c>
      <c r="I454" s="9">
        <v>10.254706000000001</v>
      </c>
      <c r="J454" s="7" t="s">
        <v>112</v>
      </c>
      <c r="K454" s="7" t="s">
        <v>37</v>
      </c>
      <c r="L454" s="7"/>
      <c r="M454" s="10">
        <v>19.88</v>
      </c>
      <c r="N454" s="7" t="s">
        <v>48</v>
      </c>
      <c r="O454" s="7"/>
      <c r="P454" s="8" t="s">
        <v>39</v>
      </c>
      <c r="Q454">
        <v>5.55</v>
      </c>
      <c r="R454">
        <v>30</v>
      </c>
      <c r="S454" t="s">
        <v>58</v>
      </c>
      <c r="T454">
        <v>16</v>
      </c>
      <c r="U454">
        <f t="shared" si="35"/>
        <v>88.8</v>
      </c>
      <c r="V454">
        <v>0.81</v>
      </c>
      <c r="W454">
        <v>120</v>
      </c>
      <c r="X454">
        <v>0.35</v>
      </c>
      <c r="Y454">
        <f t="shared" si="36"/>
        <v>42</v>
      </c>
      <c r="Z454">
        <f t="shared" si="37"/>
        <v>71.927999999999997</v>
      </c>
      <c r="AA454">
        <f t="shared" si="38"/>
        <v>29.927999999999997</v>
      </c>
      <c r="AB454">
        <f t="shared" si="39"/>
        <v>594.96863999999994</v>
      </c>
    </row>
    <row r="455" spans="1:28" ht="25.5" x14ac:dyDescent="0.25">
      <c r="A455" s="7">
        <v>454</v>
      </c>
      <c r="B455" s="7" t="s">
        <v>15</v>
      </c>
      <c r="C455" s="7" t="s">
        <v>113</v>
      </c>
      <c r="D455" s="7" t="s">
        <v>551</v>
      </c>
      <c r="E455" s="7"/>
      <c r="F455" s="8"/>
      <c r="G455" s="7" t="s">
        <v>551</v>
      </c>
      <c r="H455" s="9">
        <v>33.866669999999999</v>
      </c>
      <c r="I455" s="9">
        <v>7.8885500000000004</v>
      </c>
      <c r="J455" s="7" t="s">
        <v>115</v>
      </c>
      <c r="K455" s="7" t="s">
        <v>37</v>
      </c>
      <c r="L455" s="7"/>
      <c r="M455" s="10">
        <v>11.01</v>
      </c>
      <c r="N455" s="7" t="s">
        <v>52</v>
      </c>
      <c r="O455" s="7"/>
      <c r="P455" s="8" t="s">
        <v>39</v>
      </c>
      <c r="Q455">
        <v>7.3</v>
      </c>
      <c r="R455">
        <v>32.799999999999997</v>
      </c>
      <c r="S455" t="s">
        <v>58</v>
      </c>
      <c r="T455">
        <v>12</v>
      </c>
      <c r="U455">
        <f t="shared" si="35"/>
        <v>87.6</v>
      </c>
      <c r="V455">
        <v>0.99</v>
      </c>
      <c r="W455">
        <v>50</v>
      </c>
      <c r="X455">
        <v>0.35</v>
      </c>
      <c r="Y455">
        <f t="shared" si="36"/>
        <v>17.5</v>
      </c>
      <c r="Z455">
        <f t="shared" si="37"/>
        <v>86.72399999999999</v>
      </c>
      <c r="AA455">
        <f t="shared" si="38"/>
        <v>69.22399999999999</v>
      </c>
      <c r="AB455">
        <f t="shared" si="39"/>
        <v>762.15623999999991</v>
      </c>
    </row>
    <row r="456" spans="1:28" ht="25.5" x14ac:dyDescent="0.25">
      <c r="A456" s="7">
        <v>455</v>
      </c>
      <c r="B456" s="7" t="s">
        <v>15</v>
      </c>
      <c r="C456" s="7" t="s">
        <v>116</v>
      </c>
      <c r="D456" s="7" t="s">
        <v>552</v>
      </c>
      <c r="E456" s="7"/>
      <c r="F456" s="8"/>
      <c r="G456" s="7" t="s">
        <v>552</v>
      </c>
      <c r="H456" s="9">
        <v>36.861671000000001</v>
      </c>
      <c r="I456" s="9">
        <v>10.308749000000001</v>
      </c>
      <c r="J456" s="7" t="s">
        <v>118</v>
      </c>
      <c r="K456" s="7" t="s">
        <v>37</v>
      </c>
      <c r="L456" s="7"/>
      <c r="M456" s="10">
        <v>6.71</v>
      </c>
      <c r="N456" s="7" t="s">
        <v>57</v>
      </c>
      <c r="O456" s="7"/>
      <c r="P456" s="8" t="s">
        <v>39</v>
      </c>
      <c r="Q456">
        <v>6.51</v>
      </c>
      <c r="R456">
        <v>24.9</v>
      </c>
      <c r="S456" t="s">
        <v>53</v>
      </c>
      <c r="T456">
        <v>8</v>
      </c>
      <c r="U456">
        <f t="shared" si="35"/>
        <v>52.08</v>
      </c>
      <c r="V456">
        <v>1.38</v>
      </c>
      <c r="W456">
        <v>0</v>
      </c>
      <c r="X456">
        <v>0</v>
      </c>
      <c r="Y456">
        <f t="shared" si="36"/>
        <v>0</v>
      </c>
      <c r="Z456">
        <f t="shared" si="37"/>
        <v>71.870399999999989</v>
      </c>
      <c r="AA456">
        <f t="shared" si="38"/>
        <v>71.870399999999989</v>
      </c>
      <c r="AB456">
        <f t="shared" si="39"/>
        <v>482.25038399999994</v>
      </c>
    </row>
    <row r="457" spans="1:28" ht="25.5" x14ac:dyDescent="0.25">
      <c r="A457" s="7">
        <v>456</v>
      </c>
      <c r="B457" s="7" t="s">
        <v>15</v>
      </c>
      <c r="C457" s="7" t="s">
        <v>119</v>
      </c>
      <c r="D457" s="7" t="s">
        <v>553</v>
      </c>
      <c r="E457" s="7"/>
      <c r="F457" s="8"/>
      <c r="G457" s="7" t="s">
        <v>553</v>
      </c>
      <c r="H457" s="9">
        <v>36.358953</v>
      </c>
      <c r="I457" s="9">
        <v>9.6325649999999996</v>
      </c>
      <c r="J457" s="7" t="s">
        <v>121</v>
      </c>
      <c r="K457" s="7" t="s">
        <v>37</v>
      </c>
      <c r="L457" s="7"/>
      <c r="M457" s="10">
        <v>4.7699999999999996</v>
      </c>
      <c r="N457" s="7" t="s">
        <v>62</v>
      </c>
      <c r="O457" s="7"/>
      <c r="P457" s="8" t="s">
        <v>39</v>
      </c>
      <c r="Q457">
        <v>5.33</v>
      </c>
      <c r="R457">
        <v>14.8</v>
      </c>
      <c r="S457" t="s">
        <v>91</v>
      </c>
      <c r="T457">
        <v>7</v>
      </c>
      <c r="U457">
        <f t="shared" si="35"/>
        <v>37.31</v>
      </c>
      <c r="V457">
        <v>1.49</v>
      </c>
      <c r="W457">
        <v>0</v>
      </c>
      <c r="X457">
        <v>0</v>
      </c>
      <c r="Y457">
        <f t="shared" si="36"/>
        <v>0</v>
      </c>
      <c r="Z457">
        <f t="shared" si="37"/>
        <v>55.591900000000003</v>
      </c>
      <c r="AA457">
        <f t="shared" si="38"/>
        <v>55.591900000000003</v>
      </c>
      <c r="AB457">
        <f t="shared" si="39"/>
        <v>265.17336299999999</v>
      </c>
    </row>
    <row r="458" spans="1:28" ht="25.5" x14ac:dyDescent="0.25">
      <c r="A458" s="7">
        <v>457</v>
      </c>
      <c r="B458" s="7" t="s">
        <v>15</v>
      </c>
      <c r="C458" s="7" t="s">
        <v>34</v>
      </c>
      <c r="D458" s="7" t="s">
        <v>554</v>
      </c>
      <c r="E458" s="7"/>
      <c r="F458" s="8"/>
      <c r="G458" s="7" t="s">
        <v>554</v>
      </c>
      <c r="H458" s="9">
        <v>36.910001999999999</v>
      </c>
      <c r="I458" s="9">
        <v>10.224501</v>
      </c>
      <c r="J458" s="7" t="s">
        <v>36</v>
      </c>
      <c r="K458" s="7" t="s">
        <v>37</v>
      </c>
      <c r="L458" s="7"/>
      <c r="M458" s="10">
        <v>7.83</v>
      </c>
      <c r="N458" s="7" t="s">
        <v>66</v>
      </c>
      <c r="O458" s="7"/>
      <c r="P458" s="8" t="s">
        <v>39</v>
      </c>
      <c r="Q458">
        <v>4.5</v>
      </c>
      <c r="R458">
        <v>24.5</v>
      </c>
      <c r="S458" t="s">
        <v>53</v>
      </c>
      <c r="T458">
        <v>10</v>
      </c>
      <c r="U458">
        <f t="shared" si="35"/>
        <v>45</v>
      </c>
      <c r="V458">
        <v>0.92</v>
      </c>
      <c r="W458">
        <v>50</v>
      </c>
      <c r="X458">
        <v>0.35</v>
      </c>
      <c r="Y458">
        <f t="shared" si="36"/>
        <v>17.5</v>
      </c>
      <c r="Z458">
        <f t="shared" si="37"/>
        <v>41.4</v>
      </c>
      <c r="AA458">
        <f t="shared" si="38"/>
        <v>23.9</v>
      </c>
      <c r="AB458">
        <f t="shared" si="39"/>
        <v>187.137</v>
      </c>
    </row>
    <row r="459" spans="1:28" ht="25.5" x14ac:dyDescent="0.25">
      <c r="A459" s="7">
        <v>458</v>
      </c>
      <c r="B459" s="7" t="s">
        <v>15</v>
      </c>
      <c r="C459" s="7" t="s">
        <v>41</v>
      </c>
      <c r="D459" s="7" t="s">
        <v>555</v>
      </c>
      <c r="E459" s="7"/>
      <c r="F459" s="8"/>
      <c r="G459" s="7" t="s">
        <v>555</v>
      </c>
      <c r="H459" s="9">
        <v>36.647725999999999</v>
      </c>
      <c r="I459" s="9">
        <v>9.5934899999999992</v>
      </c>
      <c r="J459" s="7" t="s">
        <v>43</v>
      </c>
      <c r="K459" s="7" t="s">
        <v>37</v>
      </c>
      <c r="L459" s="7"/>
      <c r="M459" s="10">
        <v>3.84</v>
      </c>
      <c r="N459" s="7" t="s">
        <v>70</v>
      </c>
      <c r="O459" s="7"/>
      <c r="P459" s="8" t="s">
        <v>39</v>
      </c>
      <c r="Q459">
        <v>5.51</v>
      </c>
      <c r="R459">
        <v>27.3</v>
      </c>
      <c r="S459" t="s">
        <v>58</v>
      </c>
      <c r="T459">
        <v>9</v>
      </c>
      <c r="U459">
        <f t="shared" si="35"/>
        <v>49.589999999999996</v>
      </c>
      <c r="V459">
        <v>0.81</v>
      </c>
      <c r="W459">
        <v>0</v>
      </c>
      <c r="X459">
        <v>0</v>
      </c>
      <c r="Y459">
        <f t="shared" si="36"/>
        <v>0</v>
      </c>
      <c r="Z459">
        <f t="shared" si="37"/>
        <v>40.167900000000003</v>
      </c>
      <c r="AA459">
        <f t="shared" si="38"/>
        <v>40.167900000000003</v>
      </c>
      <c r="AB459">
        <f t="shared" si="39"/>
        <v>154.24473600000002</v>
      </c>
    </row>
    <row r="460" spans="1:28" ht="25.5" x14ac:dyDescent="0.25">
      <c r="A460" s="7">
        <v>459</v>
      </c>
      <c r="B460" s="7" t="s">
        <v>15</v>
      </c>
      <c r="C460" s="7" t="s">
        <v>45</v>
      </c>
      <c r="D460" s="7" t="s">
        <v>556</v>
      </c>
      <c r="E460" s="7"/>
      <c r="F460" s="8"/>
      <c r="G460" s="7" t="s">
        <v>556</v>
      </c>
      <c r="H460" s="9">
        <v>36.610840000000003</v>
      </c>
      <c r="I460" s="9">
        <v>10.313542999999999</v>
      </c>
      <c r="J460" s="7" t="s">
        <v>47</v>
      </c>
      <c r="K460" s="7" t="s">
        <v>37</v>
      </c>
      <c r="L460" s="7"/>
      <c r="M460" s="10">
        <v>19.489999999999998</v>
      </c>
      <c r="N460" s="7" t="s">
        <v>74</v>
      </c>
      <c r="O460" s="7"/>
      <c r="P460" s="8" t="s">
        <v>39</v>
      </c>
      <c r="Q460">
        <v>3.24</v>
      </c>
      <c r="R460">
        <v>24</v>
      </c>
      <c r="S460" t="s">
        <v>53</v>
      </c>
      <c r="T460">
        <v>10</v>
      </c>
      <c r="U460">
        <f t="shared" si="35"/>
        <v>32.400000000000006</v>
      </c>
      <c r="V460">
        <v>1.03</v>
      </c>
      <c r="W460">
        <v>160</v>
      </c>
      <c r="X460">
        <v>0.35</v>
      </c>
      <c r="Y460">
        <f t="shared" si="36"/>
        <v>56</v>
      </c>
      <c r="Z460">
        <f t="shared" si="37"/>
        <v>33.372000000000007</v>
      </c>
      <c r="AA460">
        <f t="shared" si="38"/>
        <v>0</v>
      </c>
      <c r="AB460">
        <f t="shared" si="39"/>
        <v>0</v>
      </c>
    </row>
    <row r="461" spans="1:28" ht="25.5" x14ac:dyDescent="0.25">
      <c r="A461" s="7">
        <v>460</v>
      </c>
      <c r="B461" s="7" t="s">
        <v>15</v>
      </c>
      <c r="C461" s="7" t="s">
        <v>49</v>
      </c>
      <c r="D461" s="7" t="s">
        <v>557</v>
      </c>
      <c r="E461" s="7"/>
      <c r="F461" s="8"/>
      <c r="G461" s="7" t="s">
        <v>557</v>
      </c>
      <c r="H461" s="9">
        <v>37.176132000000003</v>
      </c>
      <c r="I461" s="9">
        <v>9.7832910000000002</v>
      </c>
      <c r="J461" s="7" t="s">
        <v>51</v>
      </c>
      <c r="K461" s="7" t="s">
        <v>37</v>
      </c>
      <c r="L461" s="7"/>
      <c r="M461" s="10">
        <v>22.43</v>
      </c>
      <c r="N461" s="7" t="s">
        <v>78</v>
      </c>
      <c r="O461" s="7"/>
      <c r="P461" s="8" t="s">
        <v>39</v>
      </c>
      <c r="Q461">
        <v>4.58</v>
      </c>
      <c r="R461">
        <v>11.4</v>
      </c>
      <c r="S461" t="s">
        <v>91</v>
      </c>
      <c r="T461">
        <v>14</v>
      </c>
      <c r="U461">
        <f t="shared" si="35"/>
        <v>64.12</v>
      </c>
      <c r="V461">
        <v>1.35</v>
      </c>
      <c r="W461">
        <v>160</v>
      </c>
      <c r="X461">
        <v>0.35</v>
      </c>
      <c r="Y461">
        <f t="shared" si="36"/>
        <v>56</v>
      </c>
      <c r="Z461">
        <f t="shared" si="37"/>
        <v>86.562000000000012</v>
      </c>
      <c r="AA461">
        <f t="shared" si="38"/>
        <v>30.562000000000012</v>
      </c>
      <c r="AB461">
        <f t="shared" si="39"/>
        <v>685.50566000000026</v>
      </c>
    </row>
    <row r="462" spans="1:28" ht="25.5" x14ac:dyDescent="0.25">
      <c r="A462" s="7">
        <v>461</v>
      </c>
      <c r="B462" s="7" t="s">
        <v>15</v>
      </c>
      <c r="C462" s="7" t="s">
        <v>54</v>
      </c>
      <c r="D462" s="7" t="s">
        <v>558</v>
      </c>
      <c r="E462" s="7"/>
      <c r="F462" s="8"/>
      <c r="G462" s="7" t="s">
        <v>558</v>
      </c>
      <c r="H462" s="9">
        <v>33.634117000000003</v>
      </c>
      <c r="I462" s="9">
        <v>10.288829</v>
      </c>
      <c r="J462" s="7" t="s">
        <v>56</v>
      </c>
      <c r="K462" s="7" t="s">
        <v>37</v>
      </c>
      <c r="L462" s="7"/>
      <c r="M462" s="10">
        <v>19.260000000000002</v>
      </c>
      <c r="N462" s="7" t="s">
        <v>38</v>
      </c>
      <c r="O462" s="7"/>
      <c r="P462" s="8" t="s">
        <v>39</v>
      </c>
      <c r="Q462">
        <v>2.0299999999999998</v>
      </c>
      <c r="R462">
        <v>22.1</v>
      </c>
      <c r="S462" t="s">
        <v>53</v>
      </c>
      <c r="T462">
        <v>18</v>
      </c>
      <c r="U462">
        <f t="shared" si="35"/>
        <v>36.54</v>
      </c>
      <c r="V462">
        <v>1.1499999999999999</v>
      </c>
      <c r="W462">
        <v>120</v>
      </c>
      <c r="X462">
        <v>0.35</v>
      </c>
      <c r="Y462">
        <f t="shared" si="36"/>
        <v>42</v>
      </c>
      <c r="Z462">
        <f t="shared" si="37"/>
        <v>42.020999999999994</v>
      </c>
      <c r="AA462">
        <f t="shared" si="38"/>
        <v>2.099999999999369E-2</v>
      </c>
      <c r="AB462">
        <f t="shared" si="39"/>
        <v>0.40445999999987853</v>
      </c>
    </row>
    <row r="463" spans="1:28" ht="25.5" x14ac:dyDescent="0.25">
      <c r="A463" s="7">
        <v>462</v>
      </c>
      <c r="B463" s="7" t="s">
        <v>15</v>
      </c>
      <c r="C463" s="7" t="s">
        <v>59</v>
      </c>
      <c r="D463" s="7" t="s">
        <v>559</v>
      </c>
      <c r="E463" s="7"/>
      <c r="F463" s="8"/>
      <c r="G463" s="7" t="s">
        <v>559</v>
      </c>
      <c r="H463" s="9">
        <v>34.308976000000001</v>
      </c>
      <c r="I463" s="9">
        <v>8.4051209999999994</v>
      </c>
      <c r="J463" s="7" t="s">
        <v>61</v>
      </c>
      <c r="K463" s="7" t="s">
        <v>37</v>
      </c>
      <c r="L463" s="7"/>
      <c r="M463" s="10">
        <v>2.8</v>
      </c>
      <c r="N463" s="7" t="s">
        <v>44</v>
      </c>
      <c r="O463" s="7"/>
      <c r="P463" s="8" t="s">
        <v>39</v>
      </c>
      <c r="Q463">
        <v>2.59</v>
      </c>
      <c r="R463">
        <v>32.4</v>
      </c>
      <c r="S463" t="s">
        <v>58</v>
      </c>
      <c r="T463">
        <v>18</v>
      </c>
      <c r="U463">
        <f t="shared" si="35"/>
        <v>46.62</v>
      </c>
      <c r="V463">
        <v>0.9</v>
      </c>
      <c r="W463">
        <v>0</v>
      </c>
      <c r="X463">
        <v>0</v>
      </c>
      <c r="Y463">
        <f t="shared" si="36"/>
        <v>0</v>
      </c>
      <c r="Z463">
        <f t="shared" si="37"/>
        <v>41.957999999999998</v>
      </c>
      <c r="AA463">
        <f t="shared" si="38"/>
        <v>41.957999999999998</v>
      </c>
      <c r="AB463">
        <f t="shared" si="39"/>
        <v>117.48239999999998</v>
      </c>
    </row>
    <row r="464" spans="1:28" ht="25.5" x14ac:dyDescent="0.25">
      <c r="A464" s="7">
        <v>463</v>
      </c>
      <c r="B464" s="7" t="s">
        <v>15</v>
      </c>
      <c r="C464" s="7" t="s">
        <v>63</v>
      </c>
      <c r="D464" s="7" t="s">
        <v>560</v>
      </c>
      <c r="E464" s="7"/>
      <c r="F464" s="8"/>
      <c r="G464" s="7" t="s">
        <v>560</v>
      </c>
      <c r="H464" s="9">
        <v>36.947183000000003</v>
      </c>
      <c r="I464" s="9">
        <v>8.7601019999999998</v>
      </c>
      <c r="J464" s="7" t="s">
        <v>65</v>
      </c>
      <c r="K464" s="7" t="s">
        <v>37</v>
      </c>
      <c r="L464" s="7"/>
      <c r="M464" s="10">
        <v>20.85</v>
      </c>
      <c r="N464" s="7" t="s">
        <v>48</v>
      </c>
      <c r="O464" s="7"/>
      <c r="P464" s="8" t="s">
        <v>39</v>
      </c>
      <c r="Q464">
        <v>2.84</v>
      </c>
      <c r="R464">
        <v>32.4</v>
      </c>
      <c r="S464" t="s">
        <v>58</v>
      </c>
      <c r="T464">
        <v>16</v>
      </c>
      <c r="U464">
        <f t="shared" si="35"/>
        <v>45.44</v>
      </c>
      <c r="V464">
        <v>0.81</v>
      </c>
      <c r="W464">
        <v>80</v>
      </c>
      <c r="X464">
        <v>0.35</v>
      </c>
      <c r="Y464">
        <f t="shared" si="36"/>
        <v>28</v>
      </c>
      <c r="Z464">
        <f t="shared" si="37"/>
        <v>36.806400000000004</v>
      </c>
      <c r="AA464">
        <f t="shared" si="38"/>
        <v>8.8064000000000036</v>
      </c>
      <c r="AB464">
        <f t="shared" si="39"/>
        <v>183.61344000000008</v>
      </c>
    </row>
    <row r="465" spans="1:28" ht="25.5" x14ac:dyDescent="0.25">
      <c r="A465" s="7">
        <v>464</v>
      </c>
      <c r="B465" s="7" t="s">
        <v>15</v>
      </c>
      <c r="C465" s="7" t="s">
        <v>67</v>
      </c>
      <c r="D465" s="7" t="s">
        <v>561</v>
      </c>
      <c r="E465" s="7"/>
      <c r="F465" s="8"/>
      <c r="G465" s="7" t="s">
        <v>561</v>
      </c>
      <c r="H465" s="9">
        <v>35.640262999999997</v>
      </c>
      <c r="I465" s="9">
        <v>9.9179099999999991</v>
      </c>
      <c r="J465" s="7" t="s">
        <v>69</v>
      </c>
      <c r="K465" s="7" t="s">
        <v>37</v>
      </c>
      <c r="L465" s="7"/>
      <c r="M465" s="10">
        <v>18.46</v>
      </c>
      <c r="N465" s="7" t="s">
        <v>52</v>
      </c>
      <c r="O465" s="7"/>
      <c r="P465" s="8" t="s">
        <v>39</v>
      </c>
      <c r="Q465">
        <v>5.84</v>
      </c>
      <c r="R465">
        <v>37.4</v>
      </c>
      <c r="S465" t="s">
        <v>40</v>
      </c>
      <c r="T465">
        <v>12</v>
      </c>
      <c r="U465">
        <f t="shared" si="35"/>
        <v>70.08</v>
      </c>
      <c r="V465">
        <v>0.66</v>
      </c>
      <c r="W465">
        <v>160</v>
      </c>
      <c r="X465">
        <v>0.35</v>
      </c>
      <c r="Y465">
        <f t="shared" si="36"/>
        <v>56</v>
      </c>
      <c r="Z465">
        <f t="shared" si="37"/>
        <v>46.252800000000001</v>
      </c>
      <c r="AA465">
        <f t="shared" si="38"/>
        <v>0</v>
      </c>
      <c r="AB465">
        <f t="shared" si="39"/>
        <v>0</v>
      </c>
    </row>
    <row r="466" spans="1:28" ht="25.5" x14ac:dyDescent="0.25">
      <c r="A466" s="7">
        <v>465</v>
      </c>
      <c r="B466" s="7" t="s">
        <v>15</v>
      </c>
      <c r="C466" s="7" t="s">
        <v>71</v>
      </c>
      <c r="D466" s="7" t="s">
        <v>562</v>
      </c>
      <c r="E466" s="7"/>
      <c r="F466" s="8"/>
      <c r="G466" s="7" t="s">
        <v>562</v>
      </c>
      <c r="H466" s="9">
        <v>35.253242</v>
      </c>
      <c r="I466" s="9">
        <v>9.13293</v>
      </c>
      <c r="J466" s="7" t="s">
        <v>73</v>
      </c>
      <c r="K466" s="7" t="s">
        <v>37</v>
      </c>
      <c r="L466" s="7"/>
      <c r="M466" s="10">
        <v>6.29</v>
      </c>
      <c r="N466" s="7" t="s">
        <v>57</v>
      </c>
      <c r="O466" s="7"/>
      <c r="P466" s="8" t="s">
        <v>39</v>
      </c>
      <c r="Q466">
        <v>7.5</v>
      </c>
      <c r="R466">
        <v>18.8</v>
      </c>
      <c r="S466" t="s">
        <v>53</v>
      </c>
      <c r="T466">
        <v>8</v>
      </c>
      <c r="U466">
        <f t="shared" si="35"/>
        <v>60</v>
      </c>
      <c r="V466">
        <v>1.38</v>
      </c>
      <c r="W466">
        <v>50</v>
      </c>
      <c r="X466">
        <v>0.35</v>
      </c>
      <c r="Y466">
        <f t="shared" si="36"/>
        <v>17.5</v>
      </c>
      <c r="Z466">
        <f t="shared" si="37"/>
        <v>82.8</v>
      </c>
      <c r="AA466">
        <f t="shared" si="38"/>
        <v>65.3</v>
      </c>
      <c r="AB466">
        <f t="shared" si="39"/>
        <v>410.73699999999997</v>
      </c>
    </row>
    <row r="467" spans="1:28" ht="25.5" x14ac:dyDescent="0.25">
      <c r="A467" s="7">
        <v>466</v>
      </c>
      <c r="B467" s="7" t="s">
        <v>15</v>
      </c>
      <c r="C467" s="7" t="s">
        <v>75</v>
      </c>
      <c r="D467" s="7" t="s">
        <v>563</v>
      </c>
      <c r="E467" s="7"/>
      <c r="F467" s="8"/>
      <c r="G467" s="7" t="s">
        <v>563</v>
      </c>
      <c r="H467" s="9">
        <v>33.490130999999998</v>
      </c>
      <c r="I467" s="9">
        <v>9.0188100000000002</v>
      </c>
      <c r="J467" s="7" t="s">
        <v>77</v>
      </c>
      <c r="K467" s="7" t="s">
        <v>37</v>
      </c>
      <c r="L467" s="7"/>
      <c r="M467" s="10">
        <v>6.63</v>
      </c>
      <c r="N467" s="7" t="s">
        <v>62</v>
      </c>
      <c r="O467" s="7"/>
      <c r="P467" s="8" t="s">
        <v>39</v>
      </c>
      <c r="Q467">
        <v>7.81</v>
      </c>
      <c r="R467">
        <v>12.1</v>
      </c>
      <c r="S467" t="s">
        <v>91</v>
      </c>
      <c r="T467">
        <v>7</v>
      </c>
      <c r="U467">
        <f t="shared" si="35"/>
        <v>54.669999999999995</v>
      </c>
      <c r="V467">
        <v>1.49</v>
      </c>
      <c r="W467">
        <v>0</v>
      </c>
      <c r="X467">
        <v>0</v>
      </c>
      <c r="Y467">
        <f t="shared" si="36"/>
        <v>0</v>
      </c>
      <c r="Z467">
        <f t="shared" si="37"/>
        <v>81.458299999999994</v>
      </c>
      <c r="AA467">
        <f t="shared" si="38"/>
        <v>81.458299999999994</v>
      </c>
      <c r="AB467">
        <f t="shared" si="39"/>
        <v>540.0685289999999</v>
      </c>
    </row>
    <row r="468" spans="1:28" ht="25.5" x14ac:dyDescent="0.25">
      <c r="A468" s="7">
        <v>467</v>
      </c>
      <c r="B468" s="7" t="s">
        <v>15</v>
      </c>
      <c r="C468" s="7" t="s">
        <v>79</v>
      </c>
      <c r="D468" s="7" t="s">
        <v>564</v>
      </c>
      <c r="E468" s="7"/>
      <c r="F468" s="8"/>
      <c r="G468" s="7" t="s">
        <v>564</v>
      </c>
      <c r="H468" s="9">
        <v>35.943938000000003</v>
      </c>
      <c r="I468" s="9">
        <v>8.8294099999999993</v>
      </c>
      <c r="J468" s="7" t="s">
        <v>81</v>
      </c>
      <c r="K468" s="7" t="s">
        <v>37</v>
      </c>
      <c r="L468" s="7"/>
      <c r="M468" s="10">
        <v>20.11</v>
      </c>
      <c r="N468" s="7" t="s">
        <v>66</v>
      </c>
      <c r="O468" s="7"/>
      <c r="P468" s="8" t="s">
        <v>39</v>
      </c>
      <c r="Q468">
        <v>6.11</v>
      </c>
      <c r="R468">
        <v>32.6</v>
      </c>
      <c r="S468" t="s">
        <v>58</v>
      </c>
      <c r="T468">
        <v>10</v>
      </c>
      <c r="U468">
        <f t="shared" si="35"/>
        <v>61.1</v>
      </c>
      <c r="V468">
        <v>0.72</v>
      </c>
      <c r="W468">
        <v>120</v>
      </c>
      <c r="X468">
        <v>0.35</v>
      </c>
      <c r="Y468">
        <f t="shared" si="36"/>
        <v>42</v>
      </c>
      <c r="Z468">
        <f t="shared" si="37"/>
        <v>43.991999999999997</v>
      </c>
      <c r="AA468">
        <f t="shared" si="38"/>
        <v>1.9919999999999973</v>
      </c>
      <c r="AB468">
        <f t="shared" si="39"/>
        <v>40.059119999999943</v>
      </c>
    </row>
    <row r="469" spans="1:28" ht="25.5" x14ac:dyDescent="0.25">
      <c r="A469" s="7">
        <v>468</v>
      </c>
      <c r="B469" s="7" t="s">
        <v>15</v>
      </c>
      <c r="C469" s="7" t="s">
        <v>82</v>
      </c>
      <c r="D469" s="7" t="s">
        <v>565</v>
      </c>
      <c r="E469" s="7"/>
      <c r="F469" s="8"/>
      <c r="G469" s="7" t="s">
        <v>565</v>
      </c>
      <c r="H469" s="9">
        <v>35.219126000000003</v>
      </c>
      <c r="I469" s="9">
        <v>11.139564999999999</v>
      </c>
      <c r="J469" s="7" t="s">
        <v>84</v>
      </c>
      <c r="K469" s="7" t="s">
        <v>37</v>
      </c>
      <c r="L469" s="7"/>
      <c r="M469" s="10">
        <v>3.04</v>
      </c>
      <c r="N469" s="7" t="s">
        <v>70</v>
      </c>
      <c r="O469" s="7"/>
      <c r="P469" s="8" t="s">
        <v>39</v>
      </c>
      <c r="Q469">
        <v>2.85</v>
      </c>
      <c r="R469">
        <v>18.899999999999999</v>
      </c>
      <c r="S469" t="s">
        <v>53</v>
      </c>
      <c r="T469">
        <v>9</v>
      </c>
      <c r="U469">
        <f t="shared" si="35"/>
        <v>25.650000000000002</v>
      </c>
      <c r="V469">
        <v>1.03</v>
      </c>
      <c r="W469">
        <v>0</v>
      </c>
      <c r="X469">
        <v>0</v>
      </c>
      <c r="Y469">
        <f t="shared" si="36"/>
        <v>0</v>
      </c>
      <c r="Z469">
        <f t="shared" si="37"/>
        <v>26.419500000000003</v>
      </c>
      <c r="AA469">
        <f t="shared" si="38"/>
        <v>26.419500000000003</v>
      </c>
      <c r="AB469">
        <f t="shared" si="39"/>
        <v>80.315280000000016</v>
      </c>
    </row>
    <row r="470" spans="1:28" ht="25.5" x14ac:dyDescent="0.25">
      <c r="A470" s="7">
        <v>469</v>
      </c>
      <c r="B470" s="7" t="s">
        <v>15</v>
      </c>
      <c r="C470" s="7" t="s">
        <v>85</v>
      </c>
      <c r="D470" s="7" t="s">
        <v>566</v>
      </c>
      <c r="E470" s="7"/>
      <c r="F470" s="8"/>
      <c r="G470" s="7" t="s">
        <v>566</v>
      </c>
      <c r="H470" s="9">
        <v>36.824052999999999</v>
      </c>
      <c r="I470" s="9">
        <v>9.8435179999999995</v>
      </c>
      <c r="J470" s="7" t="s">
        <v>87</v>
      </c>
      <c r="K470" s="7" t="s">
        <v>37</v>
      </c>
      <c r="L470" s="7"/>
      <c r="M470" s="10">
        <v>4.1500000000000004</v>
      </c>
      <c r="N470" s="7" t="s">
        <v>74</v>
      </c>
      <c r="O470" s="7"/>
      <c r="P470" s="8" t="s">
        <v>39</v>
      </c>
      <c r="Q470">
        <v>3.3</v>
      </c>
      <c r="R470">
        <v>27</v>
      </c>
      <c r="S470" t="s">
        <v>58</v>
      </c>
      <c r="T470">
        <v>10</v>
      </c>
      <c r="U470">
        <f t="shared" si="35"/>
        <v>33</v>
      </c>
      <c r="V470">
        <v>0.81</v>
      </c>
      <c r="W470">
        <v>0</v>
      </c>
      <c r="X470">
        <v>0</v>
      </c>
      <c r="Y470">
        <f t="shared" si="36"/>
        <v>0</v>
      </c>
      <c r="Z470">
        <f t="shared" si="37"/>
        <v>26.73</v>
      </c>
      <c r="AA470">
        <f t="shared" si="38"/>
        <v>26.73</v>
      </c>
      <c r="AB470">
        <f t="shared" si="39"/>
        <v>110.9295</v>
      </c>
    </row>
    <row r="471" spans="1:28" ht="25.5" x14ac:dyDescent="0.25">
      <c r="A471" s="7">
        <v>470</v>
      </c>
      <c r="B471" s="7" t="s">
        <v>15</v>
      </c>
      <c r="C471" s="7" t="s">
        <v>88</v>
      </c>
      <c r="D471" s="7" t="s">
        <v>567</v>
      </c>
      <c r="E471" s="7"/>
      <c r="F471" s="8"/>
      <c r="G471" s="7" t="s">
        <v>567</v>
      </c>
      <c r="H471" s="9">
        <v>33.809004000000002</v>
      </c>
      <c r="I471" s="9">
        <v>11.024431</v>
      </c>
      <c r="J471" s="7" t="s">
        <v>90</v>
      </c>
      <c r="K471" s="7" t="s">
        <v>37</v>
      </c>
      <c r="L471" s="7"/>
      <c r="M471" s="10">
        <v>17.09</v>
      </c>
      <c r="N471" s="7" t="s">
        <v>78</v>
      </c>
      <c r="O471" s="7"/>
      <c r="P471" s="8" t="s">
        <v>39</v>
      </c>
      <c r="Q471">
        <v>2.2599999999999998</v>
      </c>
      <c r="R471">
        <v>25.4</v>
      </c>
      <c r="S471" t="s">
        <v>58</v>
      </c>
      <c r="T471">
        <v>14</v>
      </c>
      <c r="U471">
        <f t="shared" si="35"/>
        <v>31.639999999999997</v>
      </c>
      <c r="V471">
        <v>0.9</v>
      </c>
      <c r="W471">
        <v>160</v>
      </c>
      <c r="X471">
        <v>0.35</v>
      </c>
      <c r="Y471">
        <f t="shared" si="36"/>
        <v>56</v>
      </c>
      <c r="Z471">
        <f t="shared" si="37"/>
        <v>28.475999999999999</v>
      </c>
      <c r="AA471">
        <f t="shared" si="38"/>
        <v>0</v>
      </c>
      <c r="AB471">
        <f t="shared" si="39"/>
        <v>0</v>
      </c>
    </row>
    <row r="472" spans="1:28" ht="25.5" x14ac:dyDescent="0.25">
      <c r="A472" s="7">
        <v>471</v>
      </c>
      <c r="B472" s="7" t="s">
        <v>15</v>
      </c>
      <c r="C472" s="7" t="s">
        <v>92</v>
      </c>
      <c r="D472" s="7" t="s">
        <v>568</v>
      </c>
      <c r="E472" s="7"/>
      <c r="F472" s="8"/>
      <c r="G472" s="7" t="s">
        <v>568</v>
      </c>
      <c r="H472" s="9">
        <v>35.618727999999997</v>
      </c>
      <c r="I472" s="9">
        <v>10.771390999999999</v>
      </c>
      <c r="J472" s="7" t="s">
        <v>94</v>
      </c>
      <c r="K472" s="7" t="s">
        <v>37</v>
      </c>
      <c r="L472" s="7"/>
      <c r="M472" s="10">
        <v>17.5</v>
      </c>
      <c r="N472" s="7" t="s">
        <v>38</v>
      </c>
      <c r="O472" s="7"/>
      <c r="P472" s="8" t="s">
        <v>39</v>
      </c>
      <c r="Q472">
        <v>7.55</v>
      </c>
      <c r="R472">
        <v>18.5</v>
      </c>
      <c r="S472" t="s">
        <v>53</v>
      </c>
      <c r="T472">
        <v>18</v>
      </c>
      <c r="U472">
        <f t="shared" si="35"/>
        <v>135.9</v>
      </c>
      <c r="V472">
        <v>1.1499999999999999</v>
      </c>
      <c r="W472">
        <v>50</v>
      </c>
      <c r="X472">
        <v>0.35</v>
      </c>
      <c r="Y472">
        <f t="shared" si="36"/>
        <v>17.5</v>
      </c>
      <c r="Z472">
        <f t="shared" si="37"/>
        <v>156.285</v>
      </c>
      <c r="AA472">
        <f t="shared" si="38"/>
        <v>138.785</v>
      </c>
      <c r="AB472">
        <f t="shared" si="39"/>
        <v>2428.7374999999997</v>
      </c>
    </row>
    <row r="473" spans="1:28" ht="25.5" x14ac:dyDescent="0.25">
      <c r="A473" s="7">
        <v>472</v>
      </c>
      <c r="B473" s="7" t="s">
        <v>15</v>
      </c>
      <c r="C473" s="7" t="s">
        <v>95</v>
      </c>
      <c r="D473" s="7" t="s">
        <v>569</v>
      </c>
      <c r="E473" s="7"/>
      <c r="F473" s="8"/>
      <c r="G473" s="7" t="s">
        <v>569</v>
      </c>
      <c r="H473" s="9">
        <v>36.586348999999998</v>
      </c>
      <c r="I473" s="9">
        <v>10.848718</v>
      </c>
      <c r="J473" s="7" t="s">
        <v>97</v>
      </c>
      <c r="K473" s="7" t="s">
        <v>37</v>
      </c>
      <c r="L473" s="7"/>
      <c r="M473" s="10">
        <v>7.77</v>
      </c>
      <c r="N473" s="7" t="s">
        <v>44</v>
      </c>
      <c r="O473" s="7"/>
      <c r="P473" s="8" t="s">
        <v>39</v>
      </c>
      <c r="Q473">
        <v>3.97</v>
      </c>
      <c r="R473">
        <v>21.3</v>
      </c>
      <c r="S473" t="s">
        <v>53</v>
      </c>
      <c r="T473">
        <v>18</v>
      </c>
      <c r="U473">
        <f t="shared" si="35"/>
        <v>71.460000000000008</v>
      </c>
      <c r="V473">
        <v>1.1499999999999999</v>
      </c>
      <c r="W473">
        <v>160</v>
      </c>
      <c r="X473">
        <v>0.35</v>
      </c>
      <c r="Y473">
        <f t="shared" si="36"/>
        <v>56</v>
      </c>
      <c r="Z473">
        <f t="shared" si="37"/>
        <v>82.179000000000002</v>
      </c>
      <c r="AA473">
        <f t="shared" si="38"/>
        <v>26.179000000000002</v>
      </c>
      <c r="AB473">
        <f t="shared" si="39"/>
        <v>203.41083</v>
      </c>
    </row>
    <row r="474" spans="1:28" ht="25.5" x14ac:dyDescent="0.25">
      <c r="A474" s="7">
        <v>473</v>
      </c>
      <c r="B474" s="7" t="s">
        <v>15</v>
      </c>
      <c r="C474" s="7" t="s">
        <v>98</v>
      </c>
      <c r="D474" s="7" t="s">
        <v>570</v>
      </c>
      <c r="E474" s="7"/>
      <c r="F474" s="8"/>
      <c r="G474" s="7" t="s">
        <v>570</v>
      </c>
      <c r="H474" s="9">
        <v>34.769669999999998</v>
      </c>
      <c r="I474" s="9">
        <v>10.493444999999999</v>
      </c>
      <c r="J474" s="7" t="s">
        <v>100</v>
      </c>
      <c r="K474" s="7" t="s">
        <v>37</v>
      </c>
      <c r="L474" s="7"/>
      <c r="M474" s="10">
        <v>2.4</v>
      </c>
      <c r="N474" s="7" t="s">
        <v>48</v>
      </c>
      <c r="O474" s="7"/>
      <c r="P474" s="8" t="s">
        <v>39</v>
      </c>
      <c r="Q474">
        <v>5</v>
      </c>
      <c r="R474">
        <v>11.1</v>
      </c>
      <c r="S474" t="s">
        <v>91</v>
      </c>
      <c r="T474">
        <v>16</v>
      </c>
      <c r="U474">
        <f t="shared" si="35"/>
        <v>80</v>
      </c>
      <c r="V474">
        <v>1.22</v>
      </c>
      <c r="W474">
        <v>120</v>
      </c>
      <c r="X474">
        <v>0.35</v>
      </c>
      <c r="Y474">
        <f t="shared" si="36"/>
        <v>42</v>
      </c>
      <c r="Z474">
        <f t="shared" si="37"/>
        <v>97.6</v>
      </c>
      <c r="AA474">
        <f t="shared" si="38"/>
        <v>55.599999999999994</v>
      </c>
      <c r="AB474">
        <f t="shared" si="39"/>
        <v>133.43999999999997</v>
      </c>
    </row>
    <row r="475" spans="1:28" ht="25.5" x14ac:dyDescent="0.25">
      <c r="A475" s="7">
        <v>474</v>
      </c>
      <c r="B475" s="7" t="s">
        <v>15</v>
      </c>
      <c r="C475" s="7" t="s">
        <v>101</v>
      </c>
      <c r="D475" s="7" t="s">
        <v>571</v>
      </c>
      <c r="E475" s="7"/>
      <c r="F475" s="8"/>
      <c r="G475" s="7" t="s">
        <v>571</v>
      </c>
      <c r="H475" s="9">
        <v>34.901814000000002</v>
      </c>
      <c r="I475" s="9">
        <v>9.7600540000000002</v>
      </c>
      <c r="J475" s="7" t="s">
        <v>103</v>
      </c>
      <c r="K475" s="7" t="s">
        <v>37</v>
      </c>
      <c r="L475" s="7"/>
      <c r="M475" s="10">
        <v>10.72</v>
      </c>
      <c r="N475" s="7" t="s">
        <v>52</v>
      </c>
      <c r="O475" s="7"/>
      <c r="P475" s="8" t="s">
        <v>39</v>
      </c>
      <c r="Q475">
        <v>6.08</v>
      </c>
      <c r="R475">
        <v>27.7</v>
      </c>
      <c r="S475" t="s">
        <v>58</v>
      </c>
      <c r="T475">
        <v>12</v>
      </c>
      <c r="U475">
        <f t="shared" si="35"/>
        <v>72.960000000000008</v>
      </c>
      <c r="V475">
        <v>0.99</v>
      </c>
      <c r="W475">
        <v>120</v>
      </c>
      <c r="X475">
        <v>0.35</v>
      </c>
      <c r="Y475">
        <f t="shared" si="36"/>
        <v>42</v>
      </c>
      <c r="Z475">
        <f t="shared" si="37"/>
        <v>72.230400000000003</v>
      </c>
      <c r="AA475">
        <f t="shared" si="38"/>
        <v>30.230400000000003</v>
      </c>
      <c r="AB475">
        <f t="shared" si="39"/>
        <v>324.06988800000005</v>
      </c>
    </row>
    <row r="476" spans="1:28" ht="25.5" x14ac:dyDescent="0.25">
      <c r="A476" s="7">
        <v>475</v>
      </c>
      <c r="B476" s="7" t="s">
        <v>15</v>
      </c>
      <c r="C476" s="7" t="s">
        <v>104</v>
      </c>
      <c r="D476" s="7" t="s">
        <v>572</v>
      </c>
      <c r="E476" s="7"/>
      <c r="F476" s="8"/>
      <c r="G476" s="7" t="s">
        <v>572</v>
      </c>
      <c r="H476" s="9">
        <v>35.847979000000002</v>
      </c>
      <c r="I476" s="9">
        <v>9.2072970000000005</v>
      </c>
      <c r="J476" s="7" t="s">
        <v>106</v>
      </c>
      <c r="K476" s="7" t="s">
        <v>37</v>
      </c>
      <c r="L476" s="7"/>
      <c r="M476" s="10">
        <v>3.11</v>
      </c>
      <c r="N476" s="7" t="s">
        <v>57</v>
      </c>
      <c r="O476" s="7"/>
      <c r="P476" s="8" t="s">
        <v>39</v>
      </c>
      <c r="Q476">
        <v>6.85</v>
      </c>
      <c r="R476">
        <v>39.700000000000003</v>
      </c>
      <c r="S476" t="s">
        <v>40</v>
      </c>
      <c r="T476">
        <v>8</v>
      </c>
      <c r="U476">
        <f t="shared" si="35"/>
        <v>54.8</v>
      </c>
      <c r="V476">
        <v>0.72</v>
      </c>
      <c r="W476">
        <v>80</v>
      </c>
      <c r="X476">
        <v>0.35</v>
      </c>
      <c r="Y476">
        <f t="shared" si="36"/>
        <v>28</v>
      </c>
      <c r="Z476">
        <f t="shared" si="37"/>
        <v>39.455999999999996</v>
      </c>
      <c r="AA476">
        <f t="shared" si="38"/>
        <v>11.455999999999996</v>
      </c>
      <c r="AB476">
        <f t="shared" si="39"/>
        <v>35.628159999999987</v>
      </c>
    </row>
    <row r="477" spans="1:28" ht="25.5" x14ac:dyDescent="0.25">
      <c r="A477" s="7">
        <v>476</v>
      </c>
      <c r="B477" s="7" t="s">
        <v>15</v>
      </c>
      <c r="C477" s="7" t="s">
        <v>107</v>
      </c>
      <c r="D477" s="7" t="s">
        <v>573</v>
      </c>
      <c r="E477" s="7"/>
      <c r="F477" s="8"/>
      <c r="G477" s="7" t="s">
        <v>573</v>
      </c>
      <c r="H477" s="9">
        <v>36.110675999999998</v>
      </c>
      <c r="I477" s="9">
        <v>10.391571000000001</v>
      </c>
      <c r="J477" s="7" t="s">
        <v>109</v>
      </c>
      <c r="K477" s="7" t="s">
        <v>37</v>
      </c>
      <c r="L477" s="7"/>
      <c r="M477" s="10">
        <v>22.69</v>
      </c>
      <c r="N477" s="7" t="s">
        <v>62</v>
      </c>
      <c r="O477" s="7"/>
      <c r="P477" s="8" t="s">
        <v>39</v>
      </c>
      <c r="Q477">
        <v>7.38</v>
      </c>
      <c r="R477">
        <v>32.200000000000003</v>
      </c>
      <c r="S477" t="s">
        <v>58</v>
      </c>
      <c r="T477">
        <v>7</v>
      </c>
      <c r="U477">
        <f t="shared" si="35"/>
        <v>51.66</v>
      </c>
      <c r="V477">
        <v>0.99</v>
      </c>
      <c r="W477">
        <v>0</v>
      </c>
      <c r="X477">
        <v>0</v>
      </c>
      <c r="Y477">
        <f t="shared" si="36"/>
        <v>0</v>
      </c>
      <c r="Z477">
        <f t="shared" si="37"/>
        <v>51.143399999999993</v>
      </c>
      <c r="AA477">
        <f t="shared" si="38"/>
        <v>51.143399999999993</v>
      </c>
      <c r="AB477">
        <f t="shared" si="39"/>
        <v>1160.4437459999999</v>
      </c>
    </row>
    <row r="478" spans="1:28" ht="25.5" x14ac:dyDescent="0.25">
      <c r="A478" s="7">
        <v>477</v>
      </c>
      <c r="B478" s="7" t="s">
        <v>15</v>
      </c>
      <c r="C478" s="7" t="s">
        <v>110</v>
      </c>
      <c r="D478" s="7" t="s">
        <v>574</v>
      </c>
      <c r="E478" s="7"/>
      <c r="F478" s="8"/>
      <c r="G478" s="7" t="s">
        <v>574</v>
      </c>
      <c r="H478" s="9">
        <v>33.187927000000002</v>
      </c>
      <c r="I478" s="9">
        <v>10.228567</v>
      </c>
      <c r="J478" s="7" t="s">
        <v>112</v>
      </c>
      <c r="K478" s="7" t="s">
        <v>37</v>
      </c>
      <c r="L478" s="7"/>
      <c r="M478" s="10">
        <v>20.079999999999998</v>
      </c>
      <c r="N478" s="7" t="s">
        <v>66</v>
      </c>
      <c r="O478" s="7"/>
      <c r="P478" s="8" t="s">
        <v>39</v>
      </c>
      <c r="Q478">
        <v>7.61</v>
      </c>
      <c r="R478">
        <v>30.8</v>
      </c>
      <c r="S478" t="s">
        <v>58</v>
      </c>
      <c r="T478">
        <v>10</v>
      </c>
      <c r="U478">
        <f t="shared" si="35"/>
        <v>76.100000000000009</v>
      </c>
      <c r="V478">
        <v>0.72</v>
      </c>
      <c r="W478">
        <v>80</v>
      </c>
      <c r="X478">
        <v>0.35</v>
      </c>
      <c r="Y478">
        <f t="shared" si="36"/>
        <v>28</v>
      </c>
      <c r="Z478">
        <f t="shared" si="37"/>
        <v>54.792000000000002</v>
      </c>
      <c r="AA478">
        <f t="shared" si="38"/>
        <v>26.792000000000002</v>
      </c>
      <c r="AB478">
        <f t="shared" si="39"/>
        <v>537.98335999999995</v>
      </c>
    </row>
    <row r="479" spans="1:28" ht="25.5" x14ac:dyDescent="0.25">
      <c r="A479" s="7">
        <v>478</v>
      </c>
      <c r="B479" s="7" t="s">
        <v>15</v>
      </c>
      <c r="C479" s="7" t="s">
        <v>113</v>
      </c>
      <c r="D479" s="7" t="s">
        <v>575</v>
      </c>
      <c r="E479" s="7"/>
      <c r="F479" s="8"/>
      <c r="G479" s="7" t="s">
        <v>575</v>
      </c>
      <c r="H479" s="9">
        <v>33.864935000000003</v>
      </c>
      <c r="I479" s="9">
        <v>7.8612409999999997</v>
      </c>
      <c r="J479" s="7" t="s">
        <v>115</v>
      </c>
      <c r="K479" s="7" t="s">
        <v>37</v>
      </c>
      <c r="L479" s="7"/>
      <c r="M479" s="10">
        <v>10.75</v>
      </c>
      <c r="N479" s="7" t="s">
        <v>70</v>
      </c>
      <c r="O479" s="7"/>
      <c r="P479" s="8" t="s">
        <v>39</v>
      </c>
      <c r="Q479">
        <v>7.73</v>
      </c>
      <c r="R479">
        <v>25.8</v>
      </c>
      <c r="S479" t="s">
        <v>58</v>
      </c>
      <c r="T479">
        <v>9</v>
      </c>
      <c r="U479">
        <f t="shared" si="35"/>
        <v>69.570000000000007</v>
      </c>
      <c r="V479">
        <v>0.81</v>
      </c>
      <c r="W479">
        <v>50</v>
      </c>
      <c r="X479">
        <v>0.35</v>
      </c>
      <c r="Y479">
        <f t="shared" si="36"/>
        <v>17.5</v>
      </c>
      <c r="Z479">
        <f t="shared" si="37"/>
        <v>56.351700000000008</v>
      </c>
      <c r="AA479">
        <f t="shared" si="38"/>
        <v>38.851700000000008</v>
      </c>
      <c r="AB479">
        <f t="shared" si="39"/>
        <v>417.65577500000006</v>
      </c>
    </row>
    <row r="480" spans="1:28" ht="25.5" x14ac:dyDescent="0.25">
      <c r="A480" s="7">
        <v>479</v>
      </c>
      <c r="B480" s="7" t="s">
        <v>15</v>
      </c>
      <c r="C480" s="7" t="s">
        <v>116</v>
      </c>
      <c r="D480" s="7" t="s">
        <v>576</v>
      </c>
      <c r="E480" s="7"/>
      <c r="F480" s="8"/>
      <c r="G480" s="7" t="s">
        <v>576</v>
      </c>
      <c r="H480" s="9">
        <v>36.843063000000001</v>
      </c>
      <c r="I480" s="9">
        <v>10.324420999999999</v>
      </c>
      <c r="J480" s="7" t="s">
        <v>118</v>
      </c>
      <c r="K480" s="7" t="s">
        <v>37</v>
      </c>
      <c r="L480" s="7"/>
      <c r="M480" s="10">
        <v>10.42</v>
      </c>
      <c r="N480" s="7" t="s">
        <v>74</v>
      </c>
      <c r="O480" s="7"/>
      <c r="P480" s="8" t="s">
        <v>39</v>
      </c>
      <c r="Q480">
        <v>7.34</v>
      </c>
      <c r="R480">
        <v>15.3</v>
      </c>
      <c r="S480" t="s">
        <v>53</v>
      </c>
      <c r="T480">
        <v>10</v>
      </c>
      <c r="U480">
        <f t="shared" si="35"/>
        <v>73.400000000000006</v>
      </c>
      <c r="V480">
        <v>1.03</v>
      </c>
      <c r="W480">
        <v>50</v>
      </c>
      <c r="X480">
        <v>0.35</v>
      </c>
      <c r="Y480">
        <f t="shared" si="36"/>
        <v>17.5</v>
      </c>
      <c r="Z480">
        <f t="shared" si="37"/>
        <v>75.602000000000004</v>
      </c>
      <c r="AA480">
        <f t="shared" si="38"/>
        <v>58.102000000000004</v>
      </c>
      <c r="AB480">
        <f t="shared" si="39"/>
        <v>605.42284000000006</v>
      </c>
    </row>
    <row r="481" spans="1:28" ht="25.5" x14ac:dyDescent="0.25">
      <c r="A481" s="7">
        <v>480</v>
      </c>
      <c r="B481" s="7" t="s">
        <v>15</v>
      </c>
      <c r="C481" s="7" t="s">
        <v>119</v>
      </c>
      <c r="D481" s="7" t="s">
        <v>577</v>
      </c>
      <c r="E481" s="7"/>
      <c r="F481" s="8"/>
      <c r="G481" s="7" t="s">
        <v>577</v>
      </c>
      <c r="H481" s="9">
        <v>36.398322999999998</v>
      </c>
      <c r="I481" s="9">
        <v>9.6229779999999998</v>
      </c>
      <c r="J481" s="7" t="s">
        <v>121</v>
      </c>
      <c r="K481" s="7" t="s">
        <v>37</v>
      </c>
      <c r="L481" s="7"/>
      <c r="M481" s="10">
        <v>14.81</v>
      </c>
      <c r="N481" s="7" t="s">
        <v>78</v>
      </c>
      <c r="O481" s="7"/>
      <c r="P481" s="8" t="s">
        <v>39</v>
      </c>
      <c r="Q481">
        <v>5.62</v>
      </c>
      <c r="R481">
        <v>39.4</v>
      </c>
      <c r="S481" t="s">
        <v>40</v>
      </c>
      <c r="T481">
        <v>14</v>
      </c>
      <c r="U481">
        <f t="shared" si="35"/>
        <v>78.680000000000007</v>
      </c>
      <c r="V481">
        <v>0.6</v>
      </c>
      <c r="W481">
        <v>0</v>
      </c>
      <c r="X481">
        <v>0</v>
      </c>
      <c r="Y481">
        <f t="shared" si="36"/>
        <v>0</v>
      </c>
      <c r="Z481">
        <f t="shared" si="37"/>
        <v>47.208000000000006</v>
      </c>
      <c r="AA481">
        <f t="shared" si="38"/>
        <v>47.208000000000006</v>
      </c>
      <c r="AB481">
        <f t="shared" si="39"/>
        <v>699.15048000000013</v>
      </c>
    </row>
    <row r="482" spans="1:28" ht="25.5" x14ac:dyDescent="0.25">
      <c r="A482" s="7">
        <v>481</v>
      </c>
      <c r="B482" s="7" t="s">
        <v>15</v>
      </c>
      <c r="C482" s="7" t="s">
        <v>34</v>
      </c>
      <c r="D482" s="7" t="s">
        <v>578</v>
      </c>
      <c r="E482" s="7"/>
      <c r="F482" s="8"/>
      <c r="G482" s="7" t="s">
        <v>578</v>
      </c>
      <c r="H482" s="9">
        <v>36.893498000000001</v>
      </c>
      <c r="I482" s="9">
        <v>10.207174</v>
      </c>
      <c r="J482" s="7" t="s">
        <v>36</v>
      </c>
      <c r="K482" s="7" t="s">
        <v>37</v>
      </c>
      <c r="L482" s="7"/>
      <c r="M482" s="10">
        <v>19.47</v>
      </c>
      <c r="N482" s="7" t="s">
        <v>38</v>
      </c>
      <c r="O482" s="7"/>
      <c r="P482" s="8" t="s">
        <v>39</v>
      </c>
      <c r="Q482">
        <v>2.3199999999999998</v>
      </c>
      <c r="R482">
        <v>34.4</v>
      </c>
      <c r="S482" t="s">
        <v>58</v>
      </c>
      <c r="T482">
        <v>18</v>
      </c>
      <c r="U482">
        <f t="shared" si="35"/>
        <v>41.76</v>
      </c>
      <c r="V482">
        <v>0.9</v>
      </c>
      <c r="W482">
        <v>0</v>
      </c>
      <c r="X482">
        <v>0</v>
      </c>
      <c r="Y482">
        <f t="shared" si="36"/>
        <v>0</v>
      </c>
      <c r="Z482">
        <f t="shared" si="37"/>
        <v>37.583999999999996</v>
      </c>
      <c r="AA482">
        <f t="shared" si="38"/>
        <v>37.583999999999996</v>
      </c>
      <c r="AB482">
        <f t="shared" si="39"/>
        <v>731.76047999999992</v>
      </c>
    </row>
    <row r="483" spans="1:28" ht="25.5" x14ac:dyDescent="0.25">
      <c r="A483" s="7">
        <v>482</v>
      </c>
      <c r="B483" s="7" t="s">
        <v>15</v>
      </c>
      <c r="C483" s="7" t="s">
        <v>41</v>
      </c>
      <c r="D483" s="7" t="s">
        <v>579</v>
      </c>
      <c r="E483" s="7"/>
      <c r="F483" s="8"/>
      <c r="G483" s="7" t="s">
        <v>579</v>
      </c>
      <c r="H483" s="9">
        <v>36.639699999999998</v>
      </c>
      <c r="I483" s="9">
        <v>9.6218579999999996</v>
      </c>
      <c r="J483" s="7" t="s">
        <v>43</v>
      </c>
      <c r="K483" s="7" t="s">
        <v>37</v>
      </c>
      <c r="L483" s="7"/>
      <c r="M483" s="10">
        <v>6</v>
      </c>
      <c r="N483" s="7" t="s">
        <v>44</v>
      </c>
      <c r="O483" s="7"/>
      <c r="P483" s="8" t="s">
        <v>39</v>
      </c>
      <c r="Q483">
        <v>6.3</v>
      </c>
      <c r="R483">
        <v>25.6</v>
      </c>
      <c r="S483" t="s">
        <v>58</v>
      </c>
      <c r="T483">
        <v>18</v>
      </c>
      <c r="U483">
        <f t="shared" si="35"/>
        <v>113.39999999999999</v>
      </c>
      <c r="V483">
        <v>0.9</v>
      </c>
      <c r="W483">
        <v>50</v>
      </c>
      <c r="X483">
        <v>0.35</v>
      </c>
      <c r="Y483">
        <f t="shared" si="36"/>
        <v>17.5</v>
      </c>
      <c r="Z483">
        <f t="shared" si="37"/>
        <v>102.05999999999999</v>
      </c>
      <c r="AA483">
        <f t="shared" si="38"/>
        <v>84.559999999999988</v>
      </c>
      <c r="AB483">
        <f t="shared" si="39"/>
        <v>507.3599999999999</v>
      </c>
    </row>
    <row r="484" spans="1:28" ht="25.5" x14ac:dyDescent="0.25">
      <c r="A484" s="7">
        <v>483</v>
      </c>
      <c r="B484" s="7" t="s">
        <v>15</v>
      </c>
      <c r="C484" s="7" t="s">
        <v>45</v>
      </c>
      <c r="D484" s="7" t="s">
        <v>580</v>
      </c>
      <c r="E484" s="7"/>
      <c r="F484" s="8"/>
      <c r="G484" s="7" t="s">
        <v>580</v>
      </c>
      <c r="H484" s="9">
        <v>36.598125000000003</v>
      </c>
      <c r="I484" s="9">
        <v>10.299822000000001</v>
      </c>
      <c r="J484" s="7" t="s">
        <v>47</v>
      </c>
      <c r="K484" s="7" t="s">
        <v>37</v>
      </c>
      <c r="L484" s="7"/>
      <c r="M484" s="10">
        <v>4.99</v>
      </c>
      <c r="N484" s="7" t="s">
        <v>48</v>
      </c>
      <c r="O484" s="7"/>
      <c r="P484" s="8" t="s">
        <v>39</v>
      </c>
      <c r="Q484">
        <v>5.04</v>
      </c>
      <c r="R484">
        <v>37</v>
      </c>
      <c r="S484" t="s">
        <v>40</v>
      </c>
      <c r="T484">
        <v>16</v>
      </c>
      <c r="U484">
        <f t="shared" si="35"/>
        <v>80.64</v>
      </c>
      <c r="V484">
        <v>0.54</v>
      </c>
      <c r="W484">
        <v>120</v>
      </c>
      <c r="X484">
        <v>0.35</v>
      </c>
      <c r="Y484">
        <f t="shared" si="36"/>
        <v>42</v>
      </c>
      <c r="Z484">
        <f t="shared" si="37"/>
        <v>43.5456</v>
      </c>
      <c r="AA484">
        <f t="shared" si="38"/>
        <v>1.5456000000000003</v>
      </c>
      <c r="AB484">
        <f t="shared" si="39"/>
        <v>7.7125440000000021</v>
      </c>
    </row>
    <row r="485" spans="1:28" ht="25.5" x14ac:dyDescent="0.25">
      <c r="A485" s="7">
        <v>484</v>
      </c>
      <c r="B485" s="7" t="s">
        <v>15</v>
      </c>
      <c r="C485" s="7" t="s">
        <v>49</v>
      </c>
      <c r="D485" s="7" t="s">
        <v>581</v>
      </c>
      <c r="E485" s="7"/>
      <c r="F485" s="8"/>
      <c r="G485" s="7" t="s">
        <v>581</v>
      </c>
      <c r="H485" s="9">
        <v>37.162376000000002</v>
      </c>
      <c r="I485" s="9">
        <v>9.7807340000000007</v>
      </c>
      <c r="J485" s="7" t="s">
        <v>51</v>
      </c>
      <c r="K485" s="7" t="s">
        <v>37</v>
      </c>
      <c r="L485" s="7"/>
      <c r="M485" s="10">
        <v>14.61</v>
      </c>
      <c r="N485" s="7" t="s">
        <v>52</v>
      </c>
      <c r="O485" s="7"/>
      <c r="P485" s="8" t="s">
        <v>39</v>
      </c>
      <c r="Q485">
        <v>7.6</v>
      </c>
      <c r="R485">
        <v>41.7</v>
      </c>
      <c r="S485" t="s">
        <v>40</v>
      </c>
      <c r="T485">
        <v>12</v>
      </c>
      <c r="U485">
        <f t="shared" si="35"/>
        <v>91.199999999999989</v>
      </c>
      <c r="V485">
        <v>0.66</v>
      </c>
      <c r="W485">
        <v>0</v>
      </c>
      <c r="X485">
        <v>0</v>
      </c>
      <c r="Y485">
        <f t="shared" si="36"/>
        <v>0</v>
      </c>
      <c r="Z485">
        <f t="shared" si="37"/>
        <v>60.191999999999993</v>
      </c>
      <c r="AA485">
        <f t="shared" si="38"/>
        <v>60.191999999999993</v>
      </c>
      <c r="AB485">
        <f t="shared" si="39"/>
        <v>879.4051199999999</v>
      </c>
    </row>
    <row r="486" spans="1:28" ht="25.5" x14ac:dyDescent="0.25">
      <c r="A486" s="7">
        <v>485</v>
      </c>
      <c r="B486" s="7" t="s">
        <v>15</v>
      </c>
      <c r="C486" s="7" t="s">
        <v>54</v>
      </c>
      <c r="D486" s="7" t="s">
        <v>582</v>
      </c>
      <c r="E486" s="7"/>
      <c r="F486" s="8"/>
      <c r="G486" s="7" t="s">
        <v>582</v>
      </c>
      <c r="H486" s="9">
        <v>33.620204999999999</v>
      </c>
      <c r="I486" s="9">
        <v>10.273265</v>
      </c>
      <c r="J486" s="7" t="s">
        <v>56</v>
      </c>
      <c r="K486" s="7" t="s">
        <v>37</v>
      </c>
      <c r="L486" s="7"/>
      <c r="M486" s="10">
        <v>10.82</v>
      </c>
      <c r="N486" s="7" t="s">
        <v>57</v>
      </c>
      <c r="O486" s="7"/>
      <c r="P486" s="8" t="s">
        <v>39</v>
      </c>
      <c r="Q486">
        <v>2.2599999999999998</v>
      </c>
      <c r="R486">
        <v>20.399999999999999</v>
      </c>
      <c r="S486" t="s">
        <v>53</v>
      </c>
      <c r="T486">
        <v>8</v>
      </c>
      <c r="U486">
        <f t="shared" si="35"/>
        <v>18.079999999999998</v>
      </c>
      <c r="V486">
        <v>1.38</v>
      </c>
      <c r="W486">
        <v>160</v>
      </c>
      <c r="X486">
        <v>0.35</v>
      </c>
      <c r="Y486">
        <f t="shared" si="36"/>
        <v>56</v>
      </c>
      <c r="Z486">
        <f t="shared" si="37"/>
        <v>24.950399999999995</v>
      </c>
      <c r="AA486">
        <f t="shared" si="38"/>
        <v>0</v>
      </c>
      <c r="AB486">
        <f t="shared" si="39"/>
        <v>0</v>
      </c>
    </row>
    <row r="487" spans="1:28" ht="25.5" x14ac:dyDescent="0.25">
      <c r="A487" s="7">
        <v>486</v>
      </c>
      <c r="B487" s="7" t="s">
        <v>15</v>
      </c>
      <c r="C487" s="7" t="s">
        <v>59</v>
      </c>
      <c r="D487" s="7" t="s">
        <v>583</v>
      </c>
      <c r="E487" s="7"/>
      <c r="F487" s="8"/>
      <c r="G487" s="7" t="s">
        <v>583</v>
      </c>
      <c r="H487" s="9">
        <v>34.317953000000003</v>
      </c>
      <c r="I487" s="9">
        <v>8.4231610000000003</v>
      </c>
      <c r="J487" s="7" t="s">
        <v>61</v>
      </c>
      <c r="K487" s="7" t="s">
        <v>37</v>
      </c>
      <c r="L487" s="7"/>
      <c r="M487" s="10">
        <v>16.95</v>
      </c>
      <c r="N487" s="7" t="s">
        <v>62</v>
      </c>
      <c r="O487" s="7"/>
      <c r="P487" s="8" t="s">
        <v>39</v>
      </c>
      <c r="Q487">
        <v>6.54</v>
      </c>
      <c r="R487">
        <v>39.5</v>
      </c>
      <c r="S487" t="s">
        <v>40</v>
      </c>
      <c r="T487">
        <v>7</v>
      </c>
      <c r="U487">
        <f t="shared" si="35"/>
        <v>45.78</v>
      </c>
      <c r="V487">
        <v>0.66</v>
      </c>
      <c r="W487">
        <v>0</v>
      </c>
      <c r="X487">
        <v>0</v>
      </c>
      <c r="Y487">
        <f t="shared" si="36"/>
        <v>0</v>
      </c>
      <c r="Z487">
        <f t="shared" si="37"/>
        <v>30.214800000000004</v>
      </c>
      <c r="AA487">
        <f t="shared" si="38"/>
        <v>30.214800000000004</v>
      </c>
      <c r="AB487">
        <f t="shared" si="39"/>
        <v>512.14086000000009</v>
      </c>
    </row>
    <row r="488" spans="1:28" ht="25.5" x14ac:dyDescent="0.25">
      <c r="A488" s="7">
        <v>487</v>
      </c>
      <c r="B488" s="7" t="s">
        <v>15</v>
      </c>
      <c r="C488" s="7" t="s">
        <v>63</v>
      </c>
      <c r="D488" s="7" t="s">
        <v>584</v>
      </c>
      <c r="E488" s="7"/>
      <c r="F488" s="8"/>
      <c r="G488" s="7" t="s">
        <v>584</v>
      </c>
      <c r="H488" s="9">
        <v>36.927540999999998</v>
      </c>
      <c r="I488" s="9">
        <v>8.7322849999999992</v>
      </c>
      <c r="J488" s="7" t="s">
        <v>65</v>
      </c>
      <c r="K488" s="7" t="s">
        <v>37</v>
      </c>
      <c r="L488" s="7"/>
      <c r="M488" s="10">
        <v>14.87</v>
      </c>
      <c r="N488" s="7" t="s">
        <v>66</v>
      </c>
      <c r="O488" s="7"/>
      <c r="P488" s="8" t="s">
        <v>39</v>
      </c>
      <c r="Q488">
        <v>7.26</v>
      </c>
      <c r="R488">
        <v>38.5</v>
      </c>
      <c r="S488" t="s">
        <v>40</v>
      </c>
      <c r="T488">
        <v>10</v>
      </c>
      <c r="U488">
        <f t="shared" si="35"/>
        <v>72.599999999999994</v>
      </c>
      <c r="V488">
        <v>0.48</v>
      </c>
      <c r="W488">
        <v>120</v>
      </c>
      <c r="X488">
        <v>0.35</v>
      </c>
      <c r="Y488">
        <f t="shared" si="36"/>
        <v>42</v>
      </c>
      <c r="Z488">
        <f t="shared" si="37"/>
        <v>34.847999999999999</v>
      </c>
      <c r="AA488">
        <f t="shared" si="38"/>
        <v>0</v>
      </c>
      <c r="AB488">
        <f t="shared" si="39"/>
        <v>0</v>
      </c>
    </row>
    <row r="489" spans="1:28" ht="25.5" x14ac:dyDescent="0.25">
      <c r="A489" s="7">
        <v>488</v>
      </c>
      <c r="B489" s="7" t="s">
        <v>15</v>
      </c>
      <c r="C489" s="7" t="s">
        <v>67</v>
      </c>
      <c r="D489" s="7" t="s">
        <v>585</v>
      </c>
      <c r="E489" s="7"/>
      <c r="F489" s="8"/>
      <c r="G489" s="7" t="s">
        <v>585</v>
      </c>
      <c r="H489" s="9">
        <v>35.625872000000001</v>
      </c>
      <c r="I489" s="9">
        <v>9.9158349999999995</v>
      </c>
      <c r="J489" s="7" t="s">
        <v>69</v>
      </c>
      <c r="K489" s="7" t="s">
        <v>37</v>
      </c>
      <c r="L489" s="7"/>
      <c r="M489" s="10">
        <v>20.399999999999999</v>
      </c>
      <c r="N489" s="7" t="s">
        <v>70</v>
      </c>
      <c r="O489" s="7"/>
      <c r="P489" s="8" t="s">
        <v>39</v>
      </c>
      <c r="Q489">
        <v>5.68</v>
      </c>
      <c r="R489">
        <v>10.8</v>
      </c>
      <c r="S489" t="s">
        <v>91</v>
      </c>
      <c r="T489">
        <v>9</v>
      </c>
      <c r="U489">
        <f t="shared" si="35"/>
        <v>51.12</v>
      </c>
      <c r="V489">
        <v>1.22</v>
      </c>
      <c r="W489">
        <v>120</v>
      </c>
      <c r="X489">
        <v>0.35</v>
      </c>
      <c r="Y489">
        <f t="shared" si="36"/>
        <v>42</v>
      </c>
      <c r="Z489">
        <f t="shared" si="37"/>
        <v>62.366399999999999</v>
      </c>
      <c r="AA489">
        <f t="shared" si="38"/>
        <v>20.366399999999999</v>
      </c>
      <c r="AB489">
        <f t="shared" si="39"/>
        <v>415.47455999999994</v>
      </c>
    </row>
    <row r="490" spans="1:28" ht="25.5" x14ac:dyDescent="0.25">
      <c r="A490" s="7">
        <v>489</v>
      </c>
      <c r="B490" s="7" t="s">
        <v>15</v>
      </c>
      <c r="C490" s="7" t="s">
        <v>71</v>
      </c>
      <c r="D490" s="7" t="s">
        <v>586</v>
      </c>
      <c r="E490" s="7"/>
      <c r="F490" s="8"/>
      <c r="G490" s="7" t="s">
        <v>586</v>
      </c>
      <c r="H490" s="9">
        <v>35.211131999999999</v>
      </c>
      <c r="I490" s="9">
        <v>9.0940899999999996</v>
      </c>
      <c r="J490" s="7" t="s">
        <v>73</v>
      </c>
      <c r="K490" s="7" t="s">
        <v>37</v>
      </c>
      <c r="L490" s="7"/>
      <c r="M490" s="10">
        <v>7.36</v>
      </c>
      <c r="N490" s="7" t="s">
        <v>74</v>
      </c>
      <c r="O490" s="7"/>
      <c r="P490" s="8" t="s">
        <v>39</v>
      </c>
      <c r="Q490">
        <v>2.16</v>
      </c>
      <c r="R490">
        <v>12.4</v>
      </c>
      <c r="S490" t="s">
        <v>91</v>
      </c>
      <c r="T490">
        <v>10</v>
      </c>
      <c r="U490">
        <f t="shared" si="35"/>
        <v>21.6</v>
      </c>
      <c r="V490">
        <v>1.22</v>
      </c>
      <c r="W490">
        <v>0</v>
      </c>
      <c r="X490">
        <v>0</v>
      </c>
      <c r="Y490">
        <f t="shared" si="36"/>
        <v>0</v>
      </c>
      <c r="Z490">
        <f t="shared" si="37"/>
        <v>26.352</v>
      </c>
      <c r="AA490">
        <f t="shared" si="38"/>
        <v>26.352</v>
      </c>
      <c r="AB490">
        <f t="shared" si="39"/>
        <v>193.95072000000002</v>
      </c>
    </row>
    <row r="491" spans="1:28" ht="25.5" x14ac:dyDescent="0.25">
      <c r="A491" s="7">
        <v>490</v>
      </c>
      <c r="B491" s="7" t="s">
        <v>15</v>
      </c>
      <c r="C491" s="7" t="s">
        <v>75</v>
      </c>
      <c r="D491" s="7" t="s">
        <v>587</v>
      </c>
      <c r="E491" s="7"/>
      <c r="F491" s="8"/>
      <c r="G491" s="7" t="s">
        <v>587</v>
      </c>
      <c r="H491" s="9">
        <v>33.454872999999999</v>
      </c>
      <c r="I491" s="9">
        <v>9.0150959999999998</v>
      </c>
      <c r="J491" s="7" t="s">
        <v>77</v>
      </c>
      <c r="K491" s="7" t="s">
        <v>37</v>
      </c>
      <c r="L491" s="7"/>
      <c r="M491" s="10">
        <v>4.55</v>
      </c>
      <c r="N491" s="7" t="s">
        <v>78</v>
      </c>
      <c r="O491" s="7"/>
      <c r="P491" s="8" t="s">
        <v>39</v>
      </c>
      <c r="Q491">
        <v>4.3099999999999996</v>
      </c>
      <c r="R491">
        <v>43.8</v>
      </c>
      <c r="S491" t="s">
        <v>40</v>
      </c>
      <c r="T491">
        <v>14</v>
      </c>
      <c r="U491">
        <f t="shared" si="35"/>
        <v>60.339999999999996</v>
      </c>
      <c r="V491">
        <v>0.6</v>
      </c>
      <c r="W491">
        <v>0</v>
      </c>
      <c r="X491">
        <v>0</v>
      </c>
      <c r="Y491">
        <f t="shared" si="36"/>
        <v>0</v>
      </c>
      <c r="Z491">
        <f t="shared" si="37"/>
        <v>36.203999999999994</v>
      </c>
      <c r="AA491">
        <f t="shared" si="38"/>
        <v>36.203999999999994</v>
      </c>
      <c r="AB491">
        <f t="shared" si="39"/>
        <v>164.72819999999996</v>
      </c>
    </row>
    <row r="492" spans="1:28" ht="25.5" x14ac:dyDescent="0.25">
      <c r="A492" s="7">
        <v>491</v>
      </c>
      <c r="B492" s="7" t="s">
        <v>15</v>
      </c>
      <c r="C492" s="7" t="s">
        <v>79</v>
      </c>
      <c r="D492" s="7" t="s">
        <v>588</v>
      </c>
      <c r="E492" s="7"/>
      <c r="F492" s="8"/>
      <c r="G492" s="7" t="s">
        <v>588</v>
      </c>
      <c r="H492" s="9">
        <v>35.943553000000001</v>
      </c>
      <c r="I492" s="9">
        <v>8.8120170000000009</v>
      </c>
      <c r="J492" s="7" t="s">
        <v>81</v>
      </c>
      <c r="K492" s="7" t="s">
        <v>37</v>
      </c>
      <c r="L492" s="7"/>
      <c r="M492" s="10">
        <v>15.97</v>
      </c>
      <c r="N492" s="7" t="s">
        <v>38</v>
      </c>
      <c r="O492" s="7"/>
      <c r="P492" s="8" t="s">
        <v>39</v>
      </c>
      <c r="Q492">
        <v>3.23</v>
      </c>
      <c r="R492">
        <v>26.2</v>
      </c>
      <c r="S492" t="s">
        <v>58</v>
      </c>
      <c r="T492">
        <v>18</v>
      </c>
      <c r="U492">
        <f t="shared" si="35"/>
        <v>58.14</v>
      </c>
      <c r="V492">
        <v>0.9</v>
      </c>
      <c r="W492">
        <v>0</v>
      </c>
      <c r="X492">
        <v>0</v>
      </c>
      <c r="Y492">
        <f t="shared" si="36"/>
        <v>0</v>
      </c>
      <c r="Z492">
        <f t="shared" si="37"/>
        <v>52.326000000000001</v>
      </c>
      <c r="AA492">
        <f t="shared" si="38"/>
        <v>52.326000000000001</v>
      </c>
      <c r="AB492">
        <f t="shared" si="39"/>
        <v>835.64622000000008</v>
      </c>
    </row>
    <row r="493" spans="1:28" ht="25.5" x14ac:dyDescent="0.25">
      <c r="A493" s="7">
        <v>492</v>
      </c>
      <c r="B493" s="7" t="s">
        <v>15</v>
      </c>
      <c r="C493" s="7" t="s">
        <v>82</v>
      </c>
      <c r="D493" s="7" t="s">
        <v>589</v>
      </c>
      <c r="E493" s="7"/>
      <c r="F493" s="8"/>
      <c r="G493" s="7" t="s">
        <v>589</v>
      </c>
      <c r="H493" s="9">
        <v>35.222521</v>
      </c>
      <c r="I493" s="9">
        <v>11.125418</v>
      </c>
      <c r="J493" s="7" t="s">
        <v>84</v>
      </c>
      <c r="K493" s="7" t="s">
        <v>37</v>
      </c>
      <c r="L493" s="7"/>
      <c r="M493" s="10">
        <v>8.48</v>
      </c>
      <c r="N493" s="7" t="s">
        <v>44</v>
      </c>
      <c r="O493" s="7"/>
      <c r="P493" s="8" t="s">
        <v>39</v>
      </c>
      <c r="Q493">
        <v>4.3099999999999996</v>
      </c>
      <c r="R493">
        <v>37.6</v>
      </c>
      <c r="S493" t="s">
        <v>40</v>
      </c>
      <c r="T493">
        <v>18</v>
      </c>
      <c r="U493">
        <f t="shared" si="35"/>
        <v>77.58</v>
      </c>
      <c r="V493">
        <v>0.6</v>
      </c>
      <c r="W493">
        <v>120</v>
      </c>
      <c r="X493">
        <v>0.35</v>
      </c>
      <c r="Y493">
        <f t="shared" si="36"/>
        <v>42</v>
      </c>
      <c r="Z493">
        <f t="shared" si="37"/>
        <v>46.547999999999995</v>
      </c>
      <c r="AA493">
        <f t="shared" si="38"/>
        <v>4.5479999999999947</v>
      </c>
      <c r="AB493">
        <f t="shared" si="39"/>
        <v>38.567039999999956</v>
      </c>
    </row>
    <row r="494" spans="1:28" ht="25.5" x14ac:dyDescent="0.25">
      <c r="A494" s="7">
        <v>493</v>
      </c>
      <c r="B494" s="7" t="s">
        <v>15</v>
      </c>
      <c r="C494" s="7" t="s">
        <v>85</v>
      </c>
      <c r="D494" s="7" t="s">
        <v>590</v>
      </c>
      <c r="E494" s="7"/>
      <c r="F494" s="8"/>
      <c r="G494" s="7" t="s">
        <v>590</v>
      </c>
      <c r="H494" s="9">
        <v>36.815595000000002</v>
      </c>
      <c r="I494" s="9">
        <v>9.8692399999999996</v>
      </c>
      <c r="J494" s="7" t="s">
        <v>87</v>
      </c>
      <c r="K494" s="7" t="s">
        <v>37</v>
      </c>
      <c r="L494" s="7"/>
      <c r="M494" s="10">
        <v>16.82</v>
      </c>
      <c r="N494" s="7" t="s">
        <v>48</v>
      </c>
      <c r="O494" s="7"/>
      <c r="P494" s="8" t="s">
        <v>39</v>
      </c>
      <c r="Q494">
        <v>4.57</v>
      </c>
      <c r="R494">
        <v>17.7</v>
      </c>
      <c r="S494" t="s">
        <v>53</v>
      </c>
      <c r="T494">
        <v>16</v>
      </c>
      <c r="U494">
        <f t="shared" si="35"/>
        <v>73.12</v>
      </c>
      <c r="V494">
        <v>1.03</v>
      </c>
      <c r="W494">
        <v>80</v>
      </c>
      <c r="X494">
        <v>0.35</v>
      </c>
      <c r="Y494">
        <f t="shared" si="36"/>
        <v>28</v>
      </c>
      <c r="Z494">
        <f t="shared" si="37"/>
        <v>75.313600000000008</v>
      </c>
      <c r="AA494">
        <f t="shared" si="38"/>
        <v>47.313600000000008</v>
      </c>
      <c r="AB494">
        <f t="shared" si="39"/>
        <v>795.81475200000011</v>
      </c>
    </row>
    <row r="495" spans="1:28" ht="25.5" x14ac:dyDescent="0.25">
      <c r="A495" s="7">
        <v>494</v>
      </c>
      <c r="B495" s="7" t="s">
        <v>15</v>
      </c>
      <c r="C495" s="7" t="s">
        <v>88</v>
      </c>
      <c r="D495" s="7" t="s">
        <v>591</v>
      </c>
      <c r="E495" s="7"/>
      <c r="F495" s="8"/>
      <c r="G495" s="7" t="s">
        <v>591</v>
      </c>
      <c r="H495" s="9">
        <v>33.824404999999999</v>
      </c>
      <c r="I495" s="9">
        <v>11.001816</v>
      </c>
      <c r="J495" s="7" t="s">
        <v>90</v>
      </c>
      <c r="K495" s="7" t="s">
        <v>37</v>
      </c>
      <c r="L495" s="7"/>
      <c r="M495" s="10">
        <v>8.9600000000000009</v>
      </c>
      <c r="N495" s="7" t="s">
        <v>52</v>
      </c>
      <c r="O495" s="7"/>
      <c r="P495" s="8" t="s">
        <v>39</v>
      </c>
      <c r="Q495">
        <v>5.63</v>
      </c>
      <c r="R495">
        <v>41.9</v>
      </c>
      <c r="S495" t="s">
        <v>40</v>
      </c>
      <c r="T495">
        <v>12</v>
      </c>
      <c r="U495">
        <f t="shared" si="35"/>
        <v>67.56</v>
      </c>
      <c r="V495">
        <v>0.66</v>
      </c>
      <c r="W495">
        <v>80</v>
      </c>
      <c r="X495">
        <v>0.35</v>
      </c>
      <c r="Y495">
        <f t="shared" si="36"/>
        <v>28</v>
      </c>
      <c r="Z495">
        <f t="shared" si="37"/>
        <v>44.589600000000004</v>
      </c>
      <c r="AA495">
        <f t="shared" si="38"/>
        <v>16.589600000000004</v>
      </c>
      <c r="AB495">
        <f t="shared" si="39"/>
        <v>148.64281600000004</v>
      </c>
    </row>
    <row r="496" spans="1:28" ht="25.5" x14ac:dyDescent="0.25">
      <c r="A496" s="7">
        <v>495</v>
      </c>
      <c r="B496" s="7" t="s">
        <v>15</v>
      </c>
      <c r="C496" s="7" t="s">
        <v>92</v>
      </c>
      <c r="D496" s="7" t="s">
        <v>592</v>
      </c>
      <c r="E496" s="7"/>
      <c r="F496" s="8"/>
      <c r="G496" s="7" t="s">
        <v>592</v>
      </c>
      <c r="H496" s="9">
        <v>35.604982</v>
      </c>
      <c r="I496" s="9">
        <v>10.730662000000001</v>
      </c>
      <c r="J496" s="7" t="s">
        <v>94</v>
      </c>
      <c r="K496" s="7" t="s">
        <v>37</v>
      </c>
      <c r="L496" s="7"/>
      <c r="M496" s="10">
        <v>16.77</v>
      </c>
      <c r="N496" s="7" t="s">
        <v>57</v>
      </c>
      <c r="O496" s="7"/>
      <c r="P496" s="8" t="s">
        <v>39</v>
      </c>
      <c r="Q496">
        <v>3.59</v>
      </c>
      <c r="R496">
        <v>34.9</v>
      </c>
      <c r="S496" t="s">
        <v>58</v>
      </c>
      <c r="T496">
        <v>8</v>
      </c>
      <c r="U496">
        <f t="shared" si="35"/>
        <v>28.72</v>
      </c>
      <c r="V496">
        <v>1.08</v>
      </c>
      <c r="W496">
        <v>160</v>
      </c>
      <c r="X496">
        <v>0.35</v>
      </c>
      <c r="Y496">
        <f t="shared" si="36"/>
        <v>56</v>
      </c>
      <c r="Z496">
        <f t="shared" si="37"/>
        <v>31.017600000000002</v>
      </c>
      <c r="AA496">
        <f t="shared" si="38"/>
        <v>0</v>
      </c>
      <c r="AB496">
        <f t="shared" si="39"/>
        <v>0</v>
      </c>
    </row>
    <row r="497" spans="1:28" ht="25.5" x14ac:dyDescent="0.25">
      <c r="A497" s="7">
        <v>496</v>
      </c>
      <c r="B497" s="7" t="s">
        <v>15</v>
      </c>
      <c r="C497" s="7" t="s">
        <v>95</v>
      </c>
      <c r="D497" s="7" t="s">
        <v>593</v>
      </c>
      <c r="E497" s="7"/>
      <c r="F497" s="8"/>
      <c r="G497" s="7" t="s">
        <v>593</v>
      </c>
      <c r="H497" s="9">
        <v>36.591236000000002</v>
      </c>
      <c r="I497" s="9">
        <v>10.849633000000001</v>
      </c>
      <c r="J497" s="7" t="s">
        <v>97</v>
      </c>
      <c r="K497" s="7" t="s">
        <v>37</v>
      </c>
      <c r="L497" s="7"/>
      <c r="M497" s="10">
        <v>18.09</v>
      </c>
      <c r="N497" s="7" t="s">
        <v>62</v>
      </c>
      <c r="O497" s="7"/>
      <c r="P497" s="8" t="s">
        <v>39</v>
      </c>
      <c r="Q497">
        <v>5.93</v>
      </c>
      <c r="R497">
        <v>10.4</v>
      </c>
      <c r="S497" t="s">
        <v>91</v>
      </c>
      <c r="T497">
        <v>7</v>
      </c>
      <c r="U497">
        <f t="shared" si="35"/>
        <v>41.51</v>
      </c>
      <c r="V497">
        <v>1.49</v>
      </c>
      <c r="W497">
        <v>80</v>
      </c>
      <c r="X497">
        <v>0.35</v>
      </c>
      <c r="Y497">
        <f t="shared" si="36"/>
        <v>28</v>
      </c>
      <c r="Z497">
        <f t="shared" si="37"/>
        <v>61.849899999999998</v>
      </c>
      <c r="AA497">
        <f t="shared" si="38"/>
        <v>33.849899999999998</v>
      </c>
      <c r="AB497">
        <f t="shared" si="39"/>
        <v>612.34469100000001</v>
      </c>
    </row>
    <row r="498" spans="1:28" ht="25.5" x14ac:dyDescent="0.25">
      <c r="A498" s="7">
        <v>497</v>
      </c>
      <c r="B498" s="7" t="s">
        <v>15</v>
      </c>
      <c r="C498" s="7" t="s">
        <v>98</v>
      </c>
      <c r="D498" s="7" t="s">
        <v>594</v>
      </c>
      <c r="E498" s="7"/>
      <c r="F498" s="8"/>
      <c r="G498" s="7" t="s">
        <v>594</v>
      </c>
      <c r="H498" s="9">
        <v>34.759065999999997</v>
      </c>
      <c r="I498" s="9">
        <v>10.477164</v>
      </c>
      <c r="J498" s="7" t="s">
        <v>100</v>
      </c>
      <c r="K498" s="7" t="s">
        <v>37</v>
      </c>
      <c r="L498" s="7"/>
      <c r="M498" s="10">
        <v>15.89</v>
      </c>
      <c r="N498" s="7" t="s">
        <v>66</v>
      </c>
      <c r="O498" s="7"/>
      <c r="P498" s="8" t="s">
        <v>39</v>
      </c>
      <c r="Q498">
        <v>7.27</v>
      </c>
      <c r="R498">
        <v>36.6</v>
      </c>
      <c r="S498" t="s">
        <v>40</v>
      </c>
      <c r="T498">
        <v>10</v>
      </c>
      <c r="U498">
        <f t="shared" si="35"/>
        <v>72.699999999999989</v>
      </c>
      <c r="V498">
        <v>0.48</v>
      </c>
      <c r="W498">
        <v>160</v>
      </c>
      <c r="X498">
        <v>0.35</v>
      </c>
      <c r="Y498">
        <f t="shared" si="36"/>
        <v>56</v>
      </c>
      <c r="Z498">
        <f t="shared" si="37"/>
        <v>34.895999999999994</v>
      </c>
      <c r="AA498">
        <f t="shared" si="38"/>
        <v>0</v>
      </c>
      <c r="AB498">
        <f t="shared" si="39"/>
        <v>0</v>
      </c>
    </row>
    <row r="499" spans="1:28" ht="25.5" x14ac:dyDescent="0.25">
      <c r="A499" s="7">
        <v>498</v>
      </c>
      <c r="B499" s="7" t="s">
        <v>15</v>
      </c>
      <c r="C499" s="7" t="s">
        <v>101</v>
      </c>
      <c r="D499" s="7" t="s">
        <v>595</v>
      </c>
      <c r="E499" s="7"/>
      <c r="F499" s="8"/>
      <c r="G499" s="7" t="s">
        <v>595</v>
      </c>
      <c r="H499" s="9">
        <v>34.907626</v>
      </c>
      <c r="I499" s="9">
        <v>9.776154</v>
      </c>
      <c r="J499" s="7" t="s">
        <v>103</v>
      </c>
      <c r="K499" s="7" t="s">
        <v>37</v>
      </c>
      <c r="L499" s="7"/>
      <c r="M499" s="10">
        <v>19.170000000000002</v>
      </c>
      <c r="N499" s="7" t="s">
        <v>70</v>
      </c>
      <c r="O499" s="7"/>
      <c r="P499" s="8" t="s">
        <v>39</v>
      </c>
      <c r="Q499">
        <v>5.97</v>
      </c>
      <c r="R499">
        <v>22.1</v>
      </c>
      <c r="S499" t="s">
        <v>53</v>
      </c>
      <c r="T499">
        <v>9</v>
      </c>
      <c r="U499">
        <f t="shared" si="35"/>
        <v>53.73</v>
      </c>
      <c r="V499">
        <v>1.03</v>
      </c>
      <c r="W499">
        <v>50</v>
      </c>
      <c r="X499">
        <v>0.35</v>
      </c>
      <c r="Y499">
        <f t="shared" si="36"/>
        <v>17.5</v>
      </c>
      <c r="Z499">
        <f t="shared" si="37"/>
        <v>55.341899999999995</v>
      </c>
      <c r="AA499">
        <f t="shared" si="38"/>
        <v>37.841899999999995</v>
      </c>
      <c r="AB499">
        <f t="shared" si="39"/>
        <v>725.42922299999998</v>
      </c>
    </row>
    <row r="500" spans="1:28" ht="25.5" x14ac:dyDescent="0.25">
      <c r="A500" s="7">
        <v>499</v>
      </c>
      <c r="B500" s="7" t="s">
        <v>15</v>
      </c>
      <c r="C500" s="7" t="s">
        <v>104</v>
      </c>
      <c r="D500" s="7" t="s">
        <v>596</v>
      </c>
      <c r="E500" s="7"/>
      <c r="F500" s="8"/>
      <c r="G500" s="7" t="s">
        <v>596</v>
      </c>
      <c r="H500" s="9">
        <v>35.857455000000002</v>
      </c>
      <c r="I500" s="9">
        <v>9.2092840000000002</v>
      </c>
      <c r="J500" s="7" t="s">
        <v>106</v>
      </c>
      <c r="K500" s="7" t="s">
        <v>37</v>
      </c>
      <c r="L500" s="7"/>
      <c r="M500" s="10">
        <v>6.48</v>
      </c>
      <c r="N500" s="7" t="s">
        <v>74</v>
      </c>
      <c r="O500" s="7"/>
      <c r="P500" s="8" t="s">
        <v>39</v>
      </c>
      <c r="Q500">
        <v>6.09</v>
      </c>
      <c r="R500">
        <v>14.3</v>
      </c>
      <c r="S500" t="s">
        <v>91</v>
      </c>
      <c r="T500">
        <v>10</v>
      </c>
      <c r="U500">
        <f t="shared" si="35"/>
        <v>60.9</v>
      </c>
      <c r="V500">
        <v>1.22</v>
      </c>
      <c r="W500">
        <v>50</v>
      </c>
      <c r="X500">
        <v>0.35</v>
      </c>
      <c r="Y500">
        <f t="shared" si="36"/>
        <v>17.5</v>
      </c>
      <c r="Z500">
        <f t="shared" si="37"/>
        <v>74.298000000000002</v>
      </c>
      <c r="AA500">
        <f t="shared" si="38"/>
        <v>56.798000000000002</v>
      </c>
      <c r="AB500">
        <f t="shared" si="39"/>
        <v>368.05104000000006</v>
      </c>
    </row>
    <row r="501" spans="1:28" ht="25.5" x14ac:dyDescent="0.25">
      <c r="A501" s="7">
        <v>500</v>
      </c>
      <c r="B501" s="7" t="s">
        <v>15</v>
      </c>
      <c r="C501" s="7" t="s">
        <v>107</v>
      </c>
      <c r="D501" s="7" t="s">
        <v>597</v>
      </c>
      <c r="E501" s="7"/>
      <c r="F501" s="8"/>
      <c r="G501" s="7" t="s">
        <v>597</v>
      </c>
      <c r="H501" s="9">
        <v>36.114033999999997</v>
      </c>
      <c r="I501" s="9">
        <v>10.375026</v>
      </c>
      <c r="J501" s="7" t="s">
        <v>109</v>
      </c>
      <c r="K501" s="7" t="s">
        <v>37</v>
      </c>
      <c r="L501" s="7"/>
      <c r="M501" s="10">
        <v>6.63</v>
      </c>
      <c r="N501" s="7" t="s">
        <v>78</v>
      </c>
      <c r="O501" s="7"/>
      <c r="P501" s="8" t="s">
        <v>39</v>
      </c>
      <c r="Q501">
        <v>2.02</v>
      </c>
      <c r="R501">
        <v>28.3</v>
      </c>
      <c r="S501" t="s">
        <v>58</v>
      </c>
      <c r="T501">
        <v>14</v>
      </c>
      <c r="U501">
        <f t="shared" si="35"/>
        <v>28.28</v>
      </c>
      <c r="V501">
        <v>0.9</v>
      </c>
      <c r="W501">
        <v>50</v>
      </c>
      <c r="X501">
        <v>0.35</v>
      </c>
      <c r="Y501">
        <f t="shared" si="36"/>
        <v>17.5</v>
      </c>
      <c r="Z501">
        <f t="shared" si="37"/>
        <v>25.452000000000002</v>
      </c>
      <c r="AA501">
        <f t="shared" si="38"/>
        <v>7.9520000000000017</v>
      </c>
      <c r="AB501">
        <f t="shared" si="39"/>
        <v>52.72176000000001</v>
      </c>
    </row>
    <row r="502" spans="1:28" ht="25.5" x14ac:dyDescent="0.25">
      <c r="A502" s="7">
        <v>501</v>
      </c>
      <c r="B502" s="7" t="s">
        <v>15</v>
      </c>
      <c r="C502" s="7" t="s">
        <v>110</v>
      </c>
      <c r="D502" s="7" t="s">
        <v>598</v>
      </c>
      <c r="E502" s="7"/>
      <c r="F502" s="8"/>
      <c r="G502" s="7" t="s">
        <v>598</v>
      </c>
      <c r="H502" s="9">
        <v>33.171303000000002</v>
      </c>
      <c r="I502" s="9">
        <v>10.231329000000001</v>
      </c>
      <c r="J502" s="7" t="s">
        <v>112</v>
      </c>
      <c r="K502" s="7" t="s">
        <v>37</v>
      </c>
      <c r="L502" s="7"/>
      <c r="M502" s="10">
        <v>21.46</v>
      </c>
      <c r="N502" s="7" t="s">
        <v>38</v>
      </c>
      <c r="O502" s="7"/>
      <c r="P502" s="8" t="s">
        <v>39</v>
      </c>
      <c r="Q502">
        <v>3.76</v>
      </c>
      <c r="R502">
        <v>43.6</v>
      </c>
      <c r="S502" t="s">
        <v>40</v>
      </c>
      <c r="T502">
        <v>18</v>
      </c>
      <c r="U502">
        <f t="shared" si="35"/>
        <v>67.679999999999993</v>
      </c>
      <c r="V502">
        <v>0.6</v>
      </c>
      <c r="W502">
        <v>50</v>
      </c>
      <c r="X502">
        <v>0.35</v>
      </c>
      <c r="Y502">
        <f t="shared" si="36"/>
        <v>17.5</v>
      </c>
      <c r="Z502">
        <f t="shared" si="37"/>
        <v>40.607999999999997</v>
      </c>
      <c r="AA502">
        <f t="shared" si="38"/>
        <v>23.107999999999997</v>
      </c>
      <c r="AB502">
        <f t="shared" si="39"/>
        <v>495.89767999999998</v>
      </c>
    </row>
    <row r="503" spans="1:28" ht="25.5" x14ac:dyDescent="0.25">
      <c r="A503" s="7">
        <v>502</v>
      </c>
      <c r="B503" s="7" t="s">
        <v>15</v>
      </c>
      <c r="C503" s="7" t="s">
        <v>113</v>
      </c>
      <c r="D503" s="7" t="s">
        <v>599</v>
      </c>
      <c r="E503" s="7"/>
      <c r="F503" s="8"/>
      <c r="G503" s="7" t="s">
        <v>599</v>
      </c>
      <c r="H503" s="9">
        <v>33.875656999999997</v>
      </c>
      <c r="I503" s="9">
        <v>7.8635450000000002</v>
      </c>
      <c r="J503" s="7" t="s">
        <v>115</v>
      </c>
      <c r="K503" s="7" t="s">
        <v>37</v>
      </c>
      <c r="L503" s="7"/>
      <c r="M503" s="10">
        <v>19.16</v>
      </c>
      <c r="N503" s="7" t="s">
        <v>44</v>
      </c>
      <c r="O503" s="7"/>
      <c r="P503" s="8" t="s">
        <v>39</v>
      </c>
      <c r="Q503">
        <v>3.93</v>
      </c>
      <c r="R503">
        <v>43.7</v>
      </c>
      <c r="S503" t="s">
        <v>40</v>
      </c>
      <c r="T503">
        <v>18</v>
      </c>
      <c r="U503">
        <f t="shared" si="35"/>
        <v>70.740000000000009</v>
      </c>
      <c r="V503">
        <v>0.6</v>
      </c>
      <c r="W503">
        <v>50</v>
      </c>
      <c r="X503">
        <v>0.35</v>
      </c>
      <c r="Y503">
        <f t="shared" si="36"/>
        <v>17.5</v>
      </c>
      <c r="Z503">
        <f t="shared" si="37"/>
        <v>42.444000000000003</v>
      </c>
      <c r="AA503">
        <f t="shared" si="38"/>
        <v>24.944000000000003</v>
      </c>
      <c r="AB503">
        <f t="shared" si="39"/>
        <v>477.92704000000003</v>
      </c>
    </row>
    <row r="504" spans="1:28" ht="25.5" x14ac:dyDescent="0.25">
      <c r="A504" s="7">
        <v>503</v>
      </c>
      <c r="B504" s="7" t="s">
        <v>15</v>
      </c>
      <c r="C504" s="7" t="s">
        <v>116</v>
      </c>
      <c r="D504" s="7" t="s">
        <v>600</v>
      </c>
      <c r="E504" s="7"/>
      <c r="F504" s="8"/>
      <c r="G504" s="7" t="s">
        <v>600</v>
      </c>
      <c r="H504" s="9">
        <v>36.847076000000001</v>
      </c>
      <c r="I504" s="9">
        <v>10.326060999999999</v>
      </c>
      <c r="J504" s="7" t="s">
        <v>118</v>
      </c>
      <c r="K504" s="7" t="s">
        <v>37</v>
      </c>
      <c r="L504" s="7"/>
      <c r="M504" s="10">
        <v>17.46</v>
      </c>
      <c r="N504" s="7" t="s">
        <v>48</v>
      </c>
      <c r="O504" s="7"/>
      <c r="P504" s="8" t="s">
        <v>39</v>
      </c>
      <c r="Q504">
        <v>6.18</v>
      </c>
      <c r="R504">
        <v>27.5</v>
      </c>
      <c r="S504" t="s">
        <v>58</v>
      </c>
      <c r="T504">
        <v>16</v>
      </c>
      <c r="U504">
        <f t="shared" si="35"/>
        <v>98.88</v>
      </c>
      <c r="V504">
        <v>0.81</v>
      </c>
      <c r="W504">
        <v>50</v>
      </c>
      <c r="X504">
        <v>0.35</v>
      </c>
      <c r="Y504">
        <f t="shared" si="36"/>
        <v>17.5</v>
      </c>
      <c r="Z504">
        <f t="shared" si="37"/>
        <v>80.092799999999997</v>
      </c>
      <c r="AA504">
        <f t="shared" si="38"/>
        <v>62.592799999999997</v>
      </c>
      <c r="AB504">
        <f t="shared" si="39"/>
        <v>1092.8702880000001</v>
      </c>
    </row>
    <row r="505" spans="1:28" ht="25.5" x14ac:dyDescent="0.25">
      <c r="A505" s="7">
        <v>504</v>
      </c>
      <c r="B505" s="7" t="s">
        <v>15</v>
      </c>
      <c r="C505" s="7" t="s">
        <v>119</v>
      </c>
      <c r="D505" s="7" t="s">
        <v>601</v>
      </c>
      <c r="E505" s="7"/>
      <c r="F505" s="8"/>
      <c r="G505" s="7" t="s">
        <v>601</v>
      </c>
      <c r="H505" s="9">
        <v>36.364654999999999</v>
      </c>
      <c r="I505" s="9">
        <v>9.602722</v>
      </c>
      <c r="J505" s="7" t="s">
        <v>121</v>
      </c>
      <c r="K505" s="7" t="s">
        <v>37</v>
      </c>
      <c r="L505" s="7"/>
      <c r="M505" s="10">
        <v>7.39</v>
      </c>
      <c r="N505" s="7" t="s">
        <v>52</v>
      </c>
      <c r="O505" s="7"/>
      <c r="P505" s="8" t="s">
        <v>39</v>
      </c>
      <c r="Q505">
        <v>7.43</v>
      </c>
      <c r="R505">
        <v>28.2</v>
      </c>
      <c r="S505" t="s">
        <v>58</v>
      </c>
      <c r="T505">
        <v>12</v>
      </c>
      <c r="U505">
        <f t="shared" si="35"/>
        <v>89.16</v>
      </c>
      <c r="V505">
        <v>0.99</v>
      </c>
      <c r="W505">
        <v>0</v>
      </c>
      <c r="X505">
        <v>0</v>
      </c>
      <c r="Y505">
        <f t="shared" si="36"/>
        <v>0</v>
      </c>
      <c r="Z505">
        <f t="shared" si="37"/>
        <v>88.2684</v>
      </c>
      <c r="AA505">
        <f t="shared" si="38"/>
        <v>88.2684</v>
      </c>
      <c r="AB505">
        <f t="shared" si="39"/>
        <v>652.30347599999993</v>
      </c>
    </row>
    <row r="506" spans="1:28" ht="25.5" x14ac:dyDescent="0.25">
      <c r="A506" s="7">
        <v>505</v>
      </c>
      <c r="B506" s="7" t="s">
        <v>15</v>
      </c>
      <c r="C506" s="7" t="s">
        <v>34</v>
      </c>
      <c r="D506" s="7" t="s">
        <v>602</v>
      </c>
      <c r="E506" s="7"/>
      <c r="F506" s="8"/>
      <c r="G506" s="7" t="s">
        <v>602</v>
      </c>
      <c r="H506" s="9">
        <v>36.874380000000002</v>
      </c>
      <c r="I506" s="9">
        <v>10.230028000000001</v>
      </c>
      <c r="J506" s="7" t="s">
        <v>36</v>
      </c>
      <c r="K506" s="7" t="s">
        <v>37</v>
      </c>
      <c r="L506" s="7"/>
      <c r="M506" s="10">
        <v>24.48</v>
      </c>
      <c r="N506" s="7" t="s">
        <v>57</v>
      </c>
      <c r="O506" s="7"/>
      <c r="P506" s="8" t="s">
        <v>39</v>
      </c>
      <c r="Q506">
        <v>2.0299999999999998</v>
      </c>
      <c r="R506">
        <v>18.8</v>
      </c>
      <c r="S506" t="s">
        <v>53</v>
      </c>
      <c r="T506">
        <v>8</v>
      </c>
      <c r="U506">
        <f t="shared" si="35"/>
        <v>16.239999999999998</v>
      </c>
      <c r="V506">
        <v>1.38</v>
      </c>
      <c r="W506">
        <v>0</v>
      </c>
      <c r="X506">
        <v>0</v>
      </c>
      <c r="Y506">
        <f t="shared" si="36"/>
        <v>0</v>
      </c>
      <c r="Z506">
        <f t="shared" si="37"/>
        <v>22.411199999999997</v>
      </c>
      <c r="AA506">
        <f t="shared" si="38"/>
        <v>22.411199999999997</v>
      </c>
      <c r="AB506">
        <f t="shared" si="39"/>
        <v>548.62617599999999</v>
      </c>
    </row>
    <row r="507" spans="1:28" ht="25.5" x14ac:dyDescent="0.25">
      <c r="A507" s="7">
        <v>506</v>
      </c>
      <c r="B507" s="7" t="s">
        <v>15</v>
      </c>
      <c r="C507" s="7" t="s">
        <v>41</v>
      </c>
      <c r="D507" s="7" t="s">
        <v>603</v>
      </c>
      <c r="E507" s="7"/>
      <c r="F507" s="8"/>
      <c r="G507" s="7" t="s">
        <v>603</v>
      </c>
      <c r="H507" s="9">
        <v>36.662886999999998</v>
      </c>
      <c r="I507" s="9">
        <v>9.6184060000000002</v>
      </c>
      <c r="J507" s="7" t="s">
        <v>43</v>
      </c>
      <c r="K507" s="7" t="s">
        <v>37</v>
      </c>
      <c r="L507" s="7"/>
      <c r="M507" s="10">
        <v>5.82</v>
      </c>
      <c r="N507" s="7" t="s">
        <v>62</v>
      </c>
      <c r="O507" s="7"/>
      <c r="P507" s="8" t="s">
        <v>39</v>
      </c>
      <c r="Q507">
        <v>3.93</v>
      </c>
      <c r="R507">
        <v>30.3</v>
      </c>
      <c r="S507" t="s">
        <v>58</v>
      </c>
      <c r="T507">
        <v>7</v>
      </c>
      <c r="U507">
        <f t="shared" si="35"/>
        <v>27.51</v>
      </c>
      <c r="V507">
        <v>0.99</v>
      </c>
      <c r="W507">
        <v>0</v>
      </c>
      <c r="X507">
        <v>0</v>
      </c>
      <c r="Y507">
        <f t="shared" si="36"/>
        <v>0</v>
      </c>
      <c r="Z507">
        <f t="shared" si="37"/>
        <v>27.2349</v>
      </c>
      <c r="AA507">
        <f t="shared" si="38"/>
        <v>27.2349</v>
      </c>
      <c r="AB507">
        <f t="shared" si="39"/>
        <v>158.50711800000002</v>
      </c>
    </row>
    <row r="508" spans="1:28" ht="25.5" x14ac:dyDescent="0.25">
      <c r="A508" s="7">
        <v>507</v>
      </c>
      <c r="B508" s="7" t="s">
        <v>15</v>
      </c>
      <c r="C508" s="7" t="s">
        <v>45</v>
      </c>
      <c r="D508" s="7" t="s">
        <v>604</v>
      </c>
      <c r="E508" s="7"/>
      <c r="F508" s="8"/>
      <c r="G508" s="7" t="s">
        <v>604</v>
      </c>
      <c r="H508" s="9">
        <v>36.59628</v>
      </c>
      <c r="I508" s="9">
        <v>10.329719000000001</v>
      </c>
      <c r="J508" s="7" t="s">
        <v>47</v>
      </c>
      <c r="K508" s="7" t="s">
        <v>37</v>
      </c>
      <c r="L508" s="7"/>
      <c r="M508" s="10">
        <v>23.25</v>
      </c>
      <c r="N508" s="7" t="s">
        <v>66</v>
      </c>
      <c r="O508" s="7"/>
      <c r="P508" s="8" t="s">
        <v>39</v>
      </c>
      <c r="Q508">
        <v>5.3</v>
      </c>
      <c r="R508">
        <v>15.3</v>
      </c>
      <c r="S508" t="s">
        <v>53</v>
      </c>
      <c r="T508">
        <v>10</v>
      </c>
      <c r="U508">
        <f t="shared" si="35"/>
        <v>53</v>
      </c>
      <c r="V508">
        <v>0.92</v>
      </c>
      <c r="W508">
        <v>0</v>
      </c>
      <c r="X508">
        <v>0</v>
      </c>
      <c r="Y508">
        <f t="shared" si="36"/>
        <v>0</v>
      </c>
      <c r="Z508">
        <f t="shared" si="37"/>
        <v>48.760000000000005</v>
      </c>
      <c r="AA508">
        <f t="shared" si="38"/>
        <v>48.760000000000005</v>
      </c>
      <c r="AB508">
        <f t="shared" si="39"/>
        <v>1133.67</v>
      </c>
    </row>
    <row r="509" spans="1:28" ht="25.5" x14ac:dyDescent="0.25">
      <c r="A509" s="7">
        <v>508</v>
      </c>
      <c r="B509" s="7" t="s">
        <v>15</v>
      </c>
      <c r="C509" s="7" t="s">
        <v>49</v>
      </c>
      <c r="D509" s="7" t="s">
        <v>605</v>
      </c>
      <c r="E509" s="7"/>
      <c r="F509" s="8"/>
      <c r="G509" s="7" t="s">
        <v>605</v>
      </c>
      <c r="H509" s="9">
        <v>37.17633</v>
      </c>
      <c r="I509" s="9">
        <v>9.7967899999999997</v>
      </c>
      <c r="J509" s="7" t="s">
        <v>51</v>
      </c>
      <c r="K509" s="7" t="s">
        <v>37</v>
      </c>
      <c r="L509" s="7"/>
      <c r="M509" s="10">
        <v>0.96</v>
      </c>
      <c r="N509" s="7" t="s">
        <v>70</v>
      </c>
      <c r="O509" s="7"/>
      <c r="P509" s="8" t="s">
        <v>39</v>
      </c>
      <c r="Q509">
        <v>4.01</v>
      </c>
      <c r="R509">
        <v>33.299999999999997</v>
      </c>
      <c r="S509" t="s">
        <v>58</v>
      </c>
      <c r="T509">
        <v>9</v>
      </c>
      <c r="U509">
        <f t="shared" si="35"/>
        <v>36.089999999999996</v>
      </c>
      <c r="V509">
        <v>0.81</v>
      </c>
      <c r="W509">
        <v>0</v>
      </c>
      <c r="X509">
        <v>0</v>
      </c>
      <c r="Y509">
        <f t="shared" si="36"/>
        <v>0</v>
      </c>
      <c r="Z509">
        <f t="shared" si="37"/>
        <v>29.232899999999997</v>
      </c>
      <c r="AA509">
        <f t="shared" si="38"/>
        <v>29.232899999999997</v>
      </c>
      <c r="AB509">
        <f t="shared" si="39"/>
        <v>28.063583999999995</v>
      </c>
    </row>
    <row r="510" spans="1:28" ht="25.5" x14ac:dyDescent="0.25">
      <c r="A510" s="7">
        <v>509</v>
      </c>
      <c r="B510" s="7" t="s">
        <v>15</v>
      </c>
      <c r="C510" s="7" t="s">
        <v>54</v>
      </c>
      <c r="D510" s="7" t="s">
        <v>606</v>
      </c>
      <c r="E510" s="7"/>
      <c r="F510" s="8"/>
      <c r="G510" s="7" t="s">
        <v>606</v>
      </c>
      <c r="H510" s="9">
        <v>33.627060999999998</v>
      </c>
      <c r="I510" s="9">
        <v>10.269314</v>
      </c>
      <c r="J510" s="7" t="s">
        <v>56</v>
      </c>
      <c r="K510" s="7" t="s">
        <v>37</v>
      </c>
      <c r="L510" s="7"/>
      <c r="M510" s="10">
        <v>9.59</v>
      </c>
      <c r="N510" s="7" t="s">
        <v>74</v>
      </c>
      <c r="O510" s="7"/>
      <c r="P510" s="8" t="s">
        <v>39</v>
      </c>
      <c r="Q510">
        <v>5.88</v>
      </c>
      <c r="R510">
        <v>19.3</v>
      </c>
      <c r="S510" t="s">
        <v>53</v>
      </c>
      <c r="T510">
        <v>10</v>
      </c>
      <c r="U510">
        <f t="shared" si="35"/>
        <v>58.8</v>
      </c>
      <c r="V510">
        <v>1.03</v>
      </c>
      <c r="W510">
        <v>50</v>
      </c>
      <c r="X510">
        <v>0.35</v>
      </c>
      <c r="Y510">
        <f t="shared" si="36"/>
        <v>17.5</v>
      </c>
      <c r="Z510">
        <f t="shared" si="37"/>
        <v>60.564</v>
      </c>
      <c r="AA510">
        <f t="shared" si="38"/>
        <v>43.064</v>
      </c>
      <c r="AB510">
        <f t="shared" si="39"/>
        <v>412.98376000000002</v>
      </c>
    </row>
    <row r="511" spans="1:28" ht="25.5" x14ac:dyDescent="0.25">
      <c r="A511" s="7">
        <v>510</v>
      </c>
      <c r="B511" s="7" t="s">
        <v>15</v>
      </c>
      <c r="C511" s="7" t="s">
        <v>59</v>
      </c>
      <c r="D511" s="7" t="s">
        <v>607</v>
      </c>
      <c r="E511" s="7"/>
      <c r="F511" s="8"/>
      <c r="G511" s="7" t="s">
        <v>607</v>
      </c>
      <c r="H511" s="9">
        <v>34.326802999999998</v>
      </c>
      <c r="I511" s="9">
        <v>8.3967729999999996</v>
      </c>
      <c r="J511" s="7" t="s">
        <v>61</v>
      </c>
      <c r="K511" s="7" t="s">
        <v>37</v>
      </c>
      <c r="L511" s="7"/>
      <c r="M511" s="10">
        <v>23.71</v>
      </c>
      <c r="N511" s="7" t="s">
        <v>78</v>
      </c>
      <c r="O511" s="7"/>
      <c r="P511" s="8" t="s">
        <v>39</v>
      </c>
      <c r="Q511">
        <v>7.14</v>
      </c>
      <c r="R511">
        <v>33.200000000000003</v>
      </c>
      <c r="S511" t="s">
        <v>58</v>
      </c>
      <c r="T511">
        <v>14</v>
      </c>
      <c r="U511">
        <f t="shared" si="35"/>
        <v>99.96</v>
      </c>
      <c r="V511">
        <v>0.9</v>
      </c>
      <c r="W511">
        <v>0</v>
      </c>
      <c r="X511">
        <v>0</v>
      </c>
      <c r="Y511">
        <f t="shared" si="36"/>
        <v>0</v>
      </c>
      <c r="Z511">
        <f t="shared" si="37"/>
        <v>89.963999999999999</v>
      </c>
      <c r="AA511">
        <f t="shared" si="38"/>
        <v>89.963999999999999</v>
      </c>
      <c r="AB511">
        <f t="shared" si="39"/>
        <v>2133.0464400000001</v>
      </c>
    </row>
    <row r="512" spans="1:28" ht="25.5" x14ac:dyDescent="0.25">
      <c r="A512" s="7">
        <v>511</v>
      </c>
      <c r="B512" s="7" t="s">
        <v>15</v>
      </c>
      <c r="C512" s="7" t="s">
        <v>63</v>
      </c>
      <c r="D512" s="7" t="s">
        <v>608</v>
      </c>
      <c r="E512" s="7"/>
      <c r="F512" s="8"/>
      <c r="G512" s="7" t="s">
        <v>608</v>
      </c>
      <c r="H512" s="9">
        <v>36.942363</v>
      </c>
      <c r="I512" s="9">
        <v>8.752186</v>
      </c>
      <c r="J512" s="7" t="s">
        <v>65</v>
      </c>
      <c r="K512" s="7" t="s">
        <v>37</v>
      </c>
      <c r="L512" s="7"/>
      <c r="M512" s="10">
        <v>6.21</v>
      </c>
      <c r="N512" s="7" t="s">
        <v>38</v>
      </c>
      <c r="O512" s="7"/>
      <c r="P512" s="8" t="s">
        <v>39</v>
      </c>
      <c r="Q512">
        <v>5.07</v>
      </c>
      <c r="R512">
        <v>41.2</v>
      </c>
      <c r="S512" t="s">
        <v>40</v>
      </c>
      <c r="T512">
        <v>18</v>
      </c>
      <c r="U512">
        <f t="shared" si="35"/>
        <v>91.26</v>
      </c>
      <c r="V512">
        <v>0.6</v>
      </c>
      <c r="W512">
        <v>0</v>
      </c>
      <c r="X512">
        <v>0</v>
      </c>
      <c r="Y512">
        <f t="shared" si="36"/>
        <v>0</v>
      </c>
      <c r="Z512">
        <f t="shared" si="37"/>
        <v>54.756</v>
      </c>
      <c r="AA512">
        <f t="shared" si="38"/>
        <v>54.756</v>
      </c>
      <c r="AB512">
        <f t="shared" si="39"/>
        <v>340.03476000000001</v>
      </c>
    </row>
    <row r="513" spans="1:28" ht="25.5" x14ac:dyDescent="0.25">
      <c r="A513" s="7">
        <v>512</v>
      </c>
      <c r="B513" s="7" t="s">
        <v>15</v>
      </c>
      <c r="C513" s="7" t="s">
        <v>67</v>
      </c>
      <c r="D513" s="7" t="s">
        <v>609</v>
      </c>
      <c r="E513" s="7"/>
      <c r="F513" s="8"/>
      <c r="G513" s="7" t="s">
        <v>609</v>
      </c>
      <c r="H513" s="9">
        <v>35.625183</v>
      </c>
      <c r="I513" s="9">
        <v>9.9269429999999996</v>
      </c>
      <c r="J513" s="7" t="s">
        <v>69</v>
      </c>
      <c r="K513" s="7" t="s">
        <v>37</v>
      </c>
      <c r="L513" s="7"/>
      <c r="M513" s="10">
        <v>9.64</v>
      </c>
      <c r="N513" s="7" t="s">
        <v>44</v>
      </c>
      <c r="O513" s="7"/>
      <c r="P513" s="8" t="s">
        <v>39</v>
      </c>
      <c r="Q513">
        <v>4.21</v>
      </c>
      <c r="R513">
        <v>44.1</v>
      </c>
      <c r="S513" t="s">
        <v>40</v>
      </c>
      <c r="T513">
        <v>18</v>
      </c>
      <c r="U513">
        <f t="shared" si="35"/>
        <v>75.78</v>
      </c>
      <c r="V513">
        <v>0.6</v>
      </c>
      <c r="W513">
        <v>160</v>
      </c>
      <c r="X513">
        <v>0.35</v>
      </c>
      <c r="Y513">
        <f t="shared" si="36"/>
        <v>56</v>
      </c>
      <c r="Z513">
        <f t="shared" si="37"/>
        <v>45.467999999999996</v>
      </c>
      <c r="AA513">
        <f t="shared" si="38"/>
        <v>0</v>
      </c>
      <c r="AB513">
        <f t="shared" si="39"/>
        <v>0</v>
      </c>
    </row>
    <row r="514" spans="1:28" ht="25.5" x14ac:dyDescent="0.25">
      <c r="A514" s="7">
        <v>513</v>
      </c>
      <c r="B514" s="7" t="s">
        <v>15</v>
      </c>
      <c r="C514" s="7" t="s">
        <v>71</v>
      </c>
      <c r="D514" s="7" t="s">
        <v>610</v>
      </c>
      <c r="E514" s="7"/>
      <c r="F514" s="8"/>
      <c r="G514" s="7" t="s">
        <v>610</v>
      </c>
      <c r="H514" s="9">
        <v>35.246580000000002</v>
      </c>
      <c r="I514" s="9">
        <v>9.1005929999999999</v>
      </c>
      <c r="J514" s="7" t="s">
        <v>73</v>
      </c>
      <c r="K514" s="7" t="s">
        <v>37</v>
      </c>
      <c r="L514" s="7"/>
      <c r="M514" s="10">
        <v>19.96</v>
      </c>
      <c r="N514" s="7" t="s">
        <v>48</v>
      </c>
      <c r="O514" s="7"/>
      <c r="P514" s="8" t="s">
        <v>39</v>
      </c>
      <c r="Q514">
        <v>5.71</v>
      </c>
      <c r="R514">
        <v>35.5</v>
      </c>
      <c r="S514" t="s">
        <v>40</v>
      </c>
      <c r="T514">
        <v>16</v>
      </c>
      <c r="U514">
        <f t="shared" ref="U514:U577" si="40">Q514*T514</f>
        <v>91.36</v>
      </c>
      <c r="V514">
        <v>0.54</v>
      </c>
      <c r="W514">
        <v>160</v>
      </c>
      <c r="X514">
        <v>0.35</v>
      </c>
      <c r="Y514">
        <f t="shared" ref="Y514:Y577" si="41">W514*X514</f>
        <v>56</v>
      </c>
      <c r="Z514">
        <f t="shared" ref="Z514:Z577" si="42">U514*V514</f>
        <v>49.334400000000002</v>
      </c>
      <c r="AA514">
        <f t="shared" ref="AA514:AA577" si="43">MAX(0,Z514-Y514)</f>
        <v>0</v>
      </c>
      <c r="AB514">
        <f t="shared" si="39"/>
        <v>0</v>
      </c>
    </row>
    <row r="515" spans="1:28" ht="25.5" x14ac:dyDescent="0.25">
      <c r="A515" s="7">
        <v>514</v>
      </c>
      <c r="B515" s="7" t="s">
        <v>15</v>
      </c>
      <c r="C515" s="7" t="s">
        <v>75</v>
      </c>
      <c r="D515" s="7" t="s">
        <v>611</v>
      </c>
      <c r="E515" s="7"/>
      <c r="F515" s="8"/>
      <c r="G515" s="7" t="s">
        <v>611</v>
      </c>
      <c r="H515" s="9">
        <v>33.446064999999997</v>
      </c>
      <c r="I515" s="9">
        <v>9.0293930000000007</v>
      </c>
      <c r="J515" s="7" t="s">
        <v>77</v>
      </c>
      <c r="K515" s="7" t="s">
        <v>37</v>
      </c>
      <c r="L515" s="7"/>
      <c r="M515" s="10">
        <v>17.36</v>
      </c>
      <c r="N515" s="7" t="s">
        <v>52</v>
      </c>
      <c r="O515" s="7"/>
      <c r="P515" s="8" t="s">
        <v>39</v>
      </c>
      <c r="Q515">
        <v>3.7</v>
      </c>
      <c r="R515">
        <v>13.9</v>
      </c>
      <c r="S515" t="s">
        <v>91</v>
      </c>
      <c r="T515">
        <v>12</v>
      </c>
      <c r="U515">
        <f t="shared" si="40"/>
        <v>44.400000000000006</v>
      </c>
      <c r="V515">
        <v>1.49</v>
      </c>
      <c r="W515">
        <v>120</v>
      </c>
      <c r="X515">
        <v>0.35</v>
      </c>
      <c r="Y515">
        <f t="shared" si="41"/>
        <v>42</v>
      </c>
      <c r="Z515">
        <f t="shared" si="42"/>
        <v>66.156000000000006</v>
      </c>
      <c r="AA515">
        <f t="shared" si="43"/>
        <v>24.156000000000006</v>
      </c>
      <c r="AB515">
        <f t="shared" ref="AB515:AB578" si="44">AA515*M515</f>
        <v>419.34816000000006</v>
      </c>
    </row>
    <row r="516" spans="1:28" ht="25.5" x14ac:dyDescent="0.25">
      <c r="A516" s="7">
        <v>515</v>
      </c>
      <c r="B516" s="7" t="s">
        <v>15</v>
      </c>
      <c r="C516" s="7" t="s">
        <v>79</v>
      </c>
      <c r="D516" s="7" t="s">
        <v>612</v>
      </c>
      <c r="E516" s="7"/>
      <c r="F516" s="8"/>
      <c r="G516" s="7" t="s">
        <v>612</v>
      </c>
      <c r="H516" s="9">
        <v>35.916083</v>
      </c>
      <c r="I516" s="9">
        <v>8.8405620000000003</v>
      </c>
      <c r="J516" s="7" t="s">
        <v>81</v>
      </c>
      <c r="K516" s="7" t="s">
        <v>37</v>
      </c>
      <c r="L516" s="7"/>
      <c r="M516" s="10">
        <v>5.14</v>
      </c>
      <c r="N516" s="7" t="s">
        <v>57</v>
      </c>
      <c r="O516" s="7"/>
      <c r="P516" s="8" t="s">
        <v>39</v>
      </c>
      <c r="Q516">
        <v>4.93</v>
      </c>
      <c r="R516">
        <v>17.7</v>
      </c>
      <c r="S516" t="s">
        <v>53</v>
      </c>
      <c r="T516">
        <v>8</v>
      </c>
      <c r="U516">
        <f t="shared" si="40"/>
        <v>39.44</v>
      </c>
      <c r="V516">
        <v>1.38</v>
      </c>
      <c r="W516">
        <v>120</v>
      </c>
      <c r="X516">
        <v>0.35</v>
      </c>
      <c r="Y516">
        <f t="shared" si="41"/>
        <v>42</v>
      </c>
      <c r="Z516">
        <f t="shared" si="42"/>
        <v>54.427199999999992</v>
      </c>
      <c r="AA516">
        <f t="shared" si="43"/>
        <v>12.427199999999992</v>
      </c>
      <c r="AB516">
        <f t="shared" si="44"/>
        <v>63.875807999999957</v>
      </c>
    </row>
    <row r="517" spans="1:28" ht="25.5" x14ac:dyDescent="0.25">
      <c r="A517" s="7">
        <v>516</v>
      </c>
      <c r="B517" s="7" t="s">
        <v>15</v>
      </c>
      <c r="C517" s="7" t="s">
        <v>82</v>
      </c>
      <c r="D517" s="7" t="s">
        <v>613</v>
      </c>
      <c r="E517" s="7"/>
      <c r="F517" s="8"/>
      <c r="G517" s="7" t="s">
        <v>613</v>
      </c>
      <c r="H517" s="9">
        <v>35.221767999999997</v>
      </c>
      <c r="I517" s="9">
        <v>11.127338</v>
      </c>
      <c r="J517" s="7" t="s">
        <v>84</v>
      </c>
      <c r="K517" s="7" t="s">
        <v>37</v>
      </c>
      <c r="L517" s="7"/>
      <c r="M517" s="10">
        <v>15.34</v>
      </c>
      <c r="N517" s="7" t="s">
        <v>62</v>
      </c>
      <c r="O517" s="7"/>
      <c r="P517" s="8" t="s">
        <v>39</v>
      </c>
      <c r="Q517">
        <v>4.21</v>
      </c>
      <c r="R517">
        <v>20.5</v>
      </c>
      <c r="S517" t="s">
        <v>53</v>
      </c>
      <c r="T517">
        <v>7</v>
      </c>
      <c r="U517">
        <f t="shared" si="40"/>
        <v>29.47</v>
      </c>
      <c r="V517">
        <v>1.26</v>
      </c>
      <c r="W517">
        <v>80</v>
      </c>
      <c r="X517">
        <v>0.35</v>
      </c>
      <c r="Y517">
        <f t="shared" si="41"/>
        <v>28</v>
      </c>
      <c r="Z517">
        <f t="shared" si="42"/>
        <v>37.132199999999997</v>
      </c>
      <c r="AA517">
        <f t="shared" si="43"/>
        <v>9.1321999999999974</v>
      </c>
      <c r="AB517">
        <f t="shared" si="44"/>
        <v>140.08794799999995</v>
      </c>
    </row>
    <row r="518" spans="1:28" ht="25.5" x14ac:dyDescent="0.25">
      <c r="A518" s="7">
        <v>517</v>
      </c>
      <c r="B518" s="7" t="s">
        <v>15</v>
      </c>
      <c r="C518" s="7" t="s">
        <v>85</v>
      </c>
      <c r="D518" s="7" t="s">
        <v>614</v>
      </c>
      <c r="E518" s="7"/>
      <c r="F518" s="8"/>
      <c r="G518" s="7" t="s">
        <v>614</v>
      </c>
      <c r="H518" s="9">
        <v>36.848737</v>
      </c>
      <c r="I518" s="9">
        <v>9.8498049999999999</v>
      </c>
      <c r="J518" s="7" t="s">
        <v>87</v>
      </c>
      <c r="K518" s="7" t="s">
        <v>37</v>
      </c>
      <c r="L518" s="7"/>
      <c r="M518" s="10">
        <v>11.02</v>
      </c>
      <c r="N518" s="7" t="s">
        <v>66</v>
      </c>
      <c r="O518" s="7"/>
      <c r="P518" s="8" t="s">
        <v>39</v>
      </c>
      <c r="Q518">
        <v>5.74</v>
      </c>
      <c r="R518">
        <v>31.6</v>
      </c>
      <c r="S518" t="s">
        <v>58</v>
      </c>
      <c r="T518">
        <v>10</v>
      </c>
      <c r="U518">
        <f t="shared" si="40"/>
        <v>57.400000000000006</v>
      </c>
      <c r="V518">
        <v>0.72</v>
      </c>
      <c r="W518">
        <v>0</v>
      </c>
      <c r="X518">
        <v>0</v>
      </c>
      <c r="Y518">
        <f t="shared" si="41"/>
        <v>0</v>
      </c>
      <c r="Z518">
        <f t="shared" si="42"/>
        <v>41.328000000000003</v>
      </c>
      <c r="AA518">
        <f t="shared" si="43"/>
        <v>41.328000000000003</v>
      </c>
      <c r="AB518">
        <f t="shared" si="44"/>
        <v>455.43456000000003</v>
      </c>
    </row>
    <row r="519" spans="1:28" ht="25.5" x14ac:dyDescent="0.25">
      <c r="A519" s="7">
        <v>518</v>
      </c>
      <c r="B519" s="7" t="s">
        <v>15</v>
      </c>
      <c r="C519" s="7" t="s">
        <v>88</v>
      </c>
      <c r="D519" s="7" t="s">
        <v>615</v>
      </c>
      <c r="E519" s="7"/>
      <c r="F519" s="8"/>
      <c r="G519" s="7" t="s">
        <v>615</v>
      </c>
      <c r="H519" s="9">
        <v>33.791476000000003</v>
      </c>
      <c r="I519" s="9">
        <v>10.996437999999999</v>
      </c>
      <c r="J519" s="7" t="s">
        <v>90</v>
      </c>
      <c r="K519" s="7" t="s">
        <v>37</v>
      </c>
      <c r="L519" s="7"/>
      <c r="M519" s="10">
        <v>21.32</v>
      </c>
      <c r="N519" s="7" t="s">
        <v>70</v>
      </c>
      <c r="O519" s="7"/>
      <c r="P519" s="8" t="s">
        <v>39</v>
      </c>
      <c r="Q519">
        <v>2.66</v>
      </c>
      <c r="R519">
        <v>17</v>
      </c>
      <c r="S519" t="s">
        <v>53</v>
      </c>
      <c r="T519">
        <v>9</v>
      </c>
      <c r="U519">
        <f t="shared" si="40"/>
        <v>23.94</v>
      </c>
      <c r="V519">
        <v>1.03</v>
      </c>
      <c r="W519">
        <v>0</v>
      </c>
      <c r="X519">
        <v>0</v>
      </c>
      <c r="Y519">
        <f t="shared" si="41"/>
        <v>0</v>
      </c>
      <c r="Z519">
        <f t="shared" si="42"/>
        <v>24.658200000000001</v>
      </c>
      <c r="AA519">
        <f t="shared" si="43"/>
        <v>24.658200000000001</v>
      </c>
      <c r="AB519">
        <f t="shared" si="44"/>
        <v>525.71282400000007</v>
      </c>
    </row>
    <row r="520" spans="1:28" ht="25.5" x14ac:dyDescent="0.25">
      <c r="A520" s="7">
        <v>519</v>
      </c>
      <c r="B520" s="7" t="s">
        <v>15</v>
      </c>
      <c r="C520" s="7" t="s">
        <v>92</v>
      </c>
      <c r="D520" s="7" t="s">
        <v>616</v>
      </c>
      <c r="E520" s="7"/>
      <c r="F520" s="8"/>
      <c r="G520" s="7" t="s">
        <v>616</v>
      </c>
      <c r="H520" s="9">
        <v>35.612763000000001</v>
      </c>
      <c r="I520" s="9">
        <v>10.754179000000001</v>
      </c>
      <c r="J520" s="7" t="s">
        <v>94</v>
      </c>
      <c r="K520" s="7" t="s">
        <v>37</v>
      </c>
      <c r="L520" s="7"/>
      <c r="M520" s="10">
        <v>17.809999999999999</v>
      </c>
      <c r="N520" s="7" t="s">
        <v>74</v>
      </c>
      <c r="O520" s="7"/>
      <c r="P520" s="8" t="s">
        <v>39</v>
      </c>
      <c r="Q520">
        <v>2.2400000000000002</v>
      </c>
      <c r="R520">
        <v>38.6</v>
      </c>
      <c r="S520" t="s">
        <v>40</v>
      </c>
      <c r="T520">
        <v>10</v>
      </c>
      <c r="U520">
        <f t="shared" si="40"/>
        <v>22.400000000000002</v>
      </c>
      <c r="V520">
        <v>0.54</v>
      </c>
      <c r="W520">
        <v>0</v>
      </c>
      <c r="X520">
        <v>0</v>
      </c>
      <c r="Y520">
        <f t="shared" si="41"/>
        <v>0</v>
      </c>
      <c r="Z520">
        <f t="shared" si="42"/>
        <v>12.096000000000002</v>
      </c>
      <c r="AA520">
        <f t="shared" si="43"/>
        <v>12.096000000000002</v>
      </c>
      <c r="AB520">
        <f t="shared" si="44"/>
        <v>215.42976000000002</v>
      </c>
    </row>
    <row r="521" spans="1:28" ht="25.5" x14ac:dyDescent="0.25">
      <c r="A521" s="7">
        <v>520</v>
      </c>
      <c r="B521" s="7" t="s">
        <v>15</v>
      </c>
      <c r="C521" s="7" t="s">
        <v>95</v>
      </c>
      <c r="D521" s="7" t="s">
        <v>617</v>
      </c>
      <c r="E521" s="7"/>
      <c r="F521" s="8"/>
      <c r="G521" s="7" t="s">
        <v>617</v>
      </c>
      <c r="H521" s="9">
        <v>36.552973000000001</v>
      </c>
      <c r="I521" s="9">
        <v>10.886309000000001</v>
      </c>
      <c r="J521" s="7" t="s">
        <v>97</v>
      </c>
      <c r="K521" s="7" t="s">
        <v>37</v>
      </c>
      <c r="L521" s="7"/>
      <c r="M521" s="10">
        <v>7.48</v>
      </c>
      <c r="N521" s="7" t="s">
        <v>78</v>
      </c>
      <c r="O521" s="7"/>
      <c r="P521" s="8" t="s">
        <v>39</v>
      </c>
      <c r="Q521">
        <v>3.26</v>
      </c>
      <c r="R521">
        <v>19.899999999999999</v>
      </c>
      <c r="S521" t="s">
        <v>53</v>
      </c>
      <c r="T521">
        <v>14</v>
      </c>
      <c r="U521">
        <f t="shared" si="40"/>
        <v>45.64</v>
      </c>
      <c r="V521">
        <v>1.1499999999999999</v>
      </c>
      <c r="W521">
        <v>80</v>
      </c>
      <c r="X521">
        <v>0.35</v>
      </c>
      <c r="Y521">
        <f t="shared" si="41"/>
        <v>28</v>
      </c>
      <c r="Z521">
        <f t="shared" si="42"/>
        <v>52.485999999999997</v>
      </c>
      <c r="AA521">
        <f t="shared" si="43"/>
        <v>24.485999999999997</v>
      </c>
      <c r="AB521">
        <f t="shared" si="44"/>
        <v>183.15527999999998</v>
      </c>
    </row>
    <row r="522" spans="1:28" ht="25.5" x14ac:dyDescent="0.25">
      <c r="A522" s="7">
        <v>521</v>
      </c>
      <c r="B522" s="7" t="s">
        <v>15</v>
      </c>
      <c r="C522" s="7" t="s">
        <v>98</v>
      </c>
      <c r="D522" s="7" t="s">
        <v>618</v>
      </c>
      <c r="E522" s="7"/>
      <c r="F522" s="8"/>
      <c r="G522" s="7" t="s">
        <v>618</v>
      </c>
      <c r="H522" s="9">
        <v>34.726965999999997</v>
      </c>
      <c r="I522" s="9">
        <v>10.485518000000001</v>
      </c>
      <c r="J522" s="7" t="s">
        <v>100</v>
      </c>
      <c r="K522" s="7" t="s">
        <v>37</v>
      </c>
      <c r="L522" s="7"/>
      <c r="M522" s="10">
        <v>8.9700000000000006</v>
      </c>
      <c r="N522" s="7" t="s">
        <v>38</v>
      </c>
      <c r="O522" s="7"/>
      <c r="P522" s="8" t="s">
        <v>39</v>
      </c>
      <c r="Q522">
        <v>4</v>
      </c>
      <c r="R522">
        <v>32</v>
      </c>
      <c r="S522" t="s">
        <v>58</v>
      </c>
      <c r="T522">
        <v>18</v>
      </c>
      <c r="U522">
        <f t="shared" si="40"/>
        <v>72</v>
      </c>
      <c r="V522">
        <v>0.9</v>
      </c>
      <c r="W522">
        <v>160</v>
      </c>
      <c r="X522">
        <v>0.35</v>
      </c>
      <c r="Y522">
        <f t="shared" si="41"/>
        <v>56</v>
      </c>
      <c r="Z522">
        <f t="shared" si="42"/>
        <v>64.8</v>
      </c>
      <c r="AA522">
        <f t="shared" si="43"/>
        <v>8.7999999999999972</v>
      </c>
      <c r="AB522">
        <f t="shared" si="44"/>
        <v>78.935999999999979</v>
      </c>
    </row>
    <row r="523" spans="1:28" ht="25.5" x14ac:dyDescent="0.25">
      <c r="A523" s="7">
        <v>522</v>
      </c>
      <c r="B523" s="7" t="s">
        <v>15</v>
      </c>
      <c r="C523" s="7" t="s">
        <v>101</v>
      </c>
      <c r="D523" s="7" t="s">
        <v>619</v>
      </c>
      <c r="E523" s="7"/>
      <c r="F523" s="8"/>
      <c r="G523" s="7" t="s">
        <v>619</v>
      </c>
      <c r="H523" s="9">
        <v>34.937576999999997</v>
      </c>
      <c r="I523" s="9">
        <v>9.7814680000000003</v>
      </c>
      <c r="J523" s="7" t="s">
        <v>103</v>
      </c>
      <c r="K523" s="7" t="s">
        <v>37</v>
      </c>
      <c r="L523" s="7"/>
      <c r="M523" s="10">
        <v>3.14</v>
      </c>
      <c r="N523" s="7" t="s">
        <v>44</v>
      </c>
      <c r="O523" s="7"/>
      <c r="P523" s="8" t="s">
        <v>39</v>
      </c>
      <c r="Q523">
        <v>3.81</v>
      </c>
      <c r="R523">
        <v>40</v>
      </c>
      <c r="S523" t="s">
        <v>40</v>
      </c>
      <c r="T523">
        <v>18</v>
      </c>
      <c r="U523">
        <f t="shared" si="40"/>
        <v>68.58</v>
      </c>
      <c r="V523">
        <v>0.6</v>
      </c>
      <c r="W523">
        <v>120</v>
      </c>
      <c r="X523">
        <v>0.35</v>
      </c>
      <c r="Y523">
        <f t="shared" si="41"/>
        <v>42</v>
      </c>
      <c r="Z523">
        <f t="shared" si="42"/>
        <v>41.147999999999996</v>
      </c>
      <c r="AA523">
        <f t="shared" si="43"/>
        <v>0</v>
      </c>
      <c r="AB523">
        <f t="shared" si="44"/>
        <v>0</v>
      </c>
    </row>
    <row r="524" spans="1:28" ht="25.5" x14ac:dyDescent="0.25">
      <c r="A524" s="7">
        <v>523</v>
      </c>
      <c r="B524" s="7" t="s">
        <v>15</v>
      </c>
      <c r="C524" s="7" t="s">
        <v>104</v>
      </c>
      <c r="D524" s="7" t="s">
        <v>620</v>
      </c>
      <c r="E524" s="7"/>
      <c r="F524" s="8"/>
      <c r="G524" s="7" t="s">
        <v>620</v>
      </c>
      <c r="H524" s="9">
        <v>35.867733000000001</v>
      </c>
      <c r="I524" s="9">
        <v>9.1849190000000007</v>
      </c>
      <c r="J524" s="7" t="s">
        <v>106</v>
      </c>
      <c r="K524" s="7" t="s">
        <v>37</v>
      </c>
      <c r="L524" s="7"/>
      <c r="M524" s="10">
        <v>5.29</v>
      </c>
      <c r="N524" s="7" t="s">
        <v>48</v>
      </c>
      <c r="O524" s="7"/>
      <c r="P524" s="8" t="s">
        <v>39</v>
      </c>
      <c r="Q524">
        <v>2.0499999999999998</v>
      </c>
      <c r="R524">
        <v>41.1</v>
      </c>
      <c r="S524" t="s">
        <v>40</v>
      </c>
      <c r="T524">
        <v>16</v>
      </c>
      <c r="U524">
        <f t="shared" si="40"/>
        <v>32.799999999999997</v>
      </c>
      <c r="V524">
        <v>0.54</v>
      </c>
      <c r="W524">
        <v>50</v>
      </c>
      <c r="X524">
        <v>0.35</v>
      </c>
      <c r="Y524">
        <f t="shared" si="41"/>
        <v>17.5</v>
      </c>
      <c r="Z524">
        <f t="shared" si="42"/>
        <v>17.712</v>
      </c>
      <c r="AA524">
        <f t="shared" si="43"/>
        <v>0.21199999999999974</v>
      </c>
      <c r="AB524">
        <f t="shared" si="44"/>
        <v>1.1214799999999987</v>
      </c>
    </row>
    <row r="525" spans="1:28" ht="25.5" x14ac:dyDescent="0.25">
      <c r="A525" s="7">
        <v>524</v>
      </c>
      <c r="B525" s="7" t="s">
        <v>15</v>
      </c>
      <c r="C525" s="7" t="s">
        <v>107</v>
      </c>
      <c r="D525" s="7" t="s">
        <v>621</v>
      </c>
      <c r="E525" s="7"/>
      <c r="F525" s="8"/>
      <c r="G525" s="7" t="s">
        <v>621</v>
      </c>
      <c r="H525" s="9">
        <v>36.119703000000001</v>
      </c>
      <c r="I525" s="9">
        <v>10.387717</v>
      </c>
      <c r="J525" s="7" t="s">
        <v>109</v>
      </c>
      <c r="K525" s="7" t="s">
        <v>37</v>
      </c>
      <c r="L525" s="7"/>
      <c r="M525" s="10">
        <v>21.14</v>
      </c>
      <c r="N525" s="7" t="s">
        <v>52</v>
      </c>
      <c r="O525" s="7"/>
      <c r="P525" s="8" t="s">
        <v>39</v>
      </c>
      <c r="Q525">
        <v>7.41</v>
      </c>
      <c r="R525">
        <v>37.700000000000003</v>
      </c>
      <c r="S525" t="s">
        <v>40</v>
      </c>
      <c r="T525">
        <v>12</v>
      </c>
      <c r="U525">
        <f t="shared" si="40"/>
        <v>88.92</v>
      </c>
      <c r="V525">
        <v>0.66</v>
      </c>
      <c r="W525">
        <v>0</v>
      </c>
      <c r="X525">
        <v>0</v>
      </c>
      <c r="Y525">
        <f t="shared" si="41"/>
        <v>0</v>
      </c>
      <c r="Z525">
        <f t="shared" si="42"/>
        <v>58.687200000000004</v>
      </c>
      <c r="AA525">
        <f t="shared" si="43"/>
        <v>58.687200000000004</v>
      </c>
      <c r="AB525">
        <f t="shared" si="44"/>
        <v>1240.647408</v>
      </c>
    </row>
    <row r="526" spans="1:28" ht="25.5" x14ac:dyDescent="0.25">
      <c r="A526" s="7">
        <v>525</v>
      </c>
      <c r="B526" s="7" t="s">
        <v>15</v>
      </c>
      <c r="C526" s="7" t="s">
        <v>110</v>
      </c>
      <c r="D526" s="7" t="s">
        <v>622</v>
      </c>
      <c r="E526" s="7"/>
      <c r="F526" s="8"/>
      <c r="G526" s="7" t="s">
        <v>622</v>
      </c>
      <c r="H526" s="9">
        <v>33.174934999999998</v>
      </c>
      <c r="I526" s="9">
        <v>10.248908</v>
      </c>
      <c r="J526" s="7" t="s">
        <v>112</v>
      </c>
      <c r="K526" s="7" t="s">
        <v>37</v>
      </c>
      <c r="L526" s="7"/>
      <c r="M526" s="10">
        <v>6.27</v>
      </c>
      <c r="N526" s="7" t="s">
        <v>57</v>
      </c>
      <c r="O526" s="7"/>
      <c r="P526" s="8" t="s">
        <v>39</v>
      </c>
      <c r="Q526">
        <v>2.33</v>
      </c>
      <c r="R526">
        <v>31.7</v>
      </c>
      <c r="S526" t="s">
        <v>58</v>
      </c>
      <c r="T526">
        <v>8</v>
      </c>
      <c r="U526">
        <f t="shared" si="40"/>
        <v>18.64</v>
      </c>
      <c r="V526">
        <v>1.08</v>
      </c>
      <c r="W526">
        <v>0</v>
      </c>
      <c r="X526">
        <v>0</v>
      </c>
      <c r="Y526">
        <f t="shared" si="41"/>
        <v>0</v>
      </c>
      <c r="Z526">
        <f t="shared" si="42"/>
        <v>20.131200000000003</v>
      </c>
      <c r="AA526">
        <f t="shared" si="43"/>
        <v>20.131200000000003</v>
      </c>
      <c r="AB526">
        <f t="shared" si="44"/>
        <v>126.22262400000001</v>
      </c>
    </row>
    <row r="527" spans="1:28" ht="25.5" x14ac:dyDescent="0.25">
      <c r="A527" s="7">
        <v>526</v>
      </c>
      <c r="B527" s="7" t="s">
        <v>15</v>
      </c>
      <c r="C527" s="7" t="s">
        <v>113</v>
      </c>
      <c r="D527" s="7" t="s">
        <v>623</v>
      </c>
      <c r="E527" s="7"/>
      <c r="F527" s="8"/>
      <c r="G527" s="7" t="s">
        <v>623</v>
      </c>
      <c r="H527" s="9">
        <v>33.861502000000002</v>
      </c>
      <c r="I527" s="9">
        <v>7.8929419999999997</v>
      </c>
      <c r="J527" s="7" t="s">
        <v>115</v>
      </c>
      <c r="K527" s="7" t="s">
        <v>37</v>
      </c>
      <c r="L527" s="7"/>
      <c r="M527" s="10">
        <v>17.149999999999999</v>
      </c>
      <c r="N527" s="7" t="s">
        <v>62</v>
      </c>
      <c r="O527" s="7"/>
      <c r="P527" s="8" t="s">
        <v>39</v>
      </c>
      <c r="Q527">
        <v>3.68</v>
      </c>
      <c r="R527">
        <v>35.6</v>
      </c>
      <c r="S527" t="s">
        <v>40</v>
      </c>
      <c r="T527">
        <v>7</v>
      </c>
      <c r="U527">
        <f t="shared" si="40"/>
        <v>25.76</v>
      </c>
      <c r="V527">
        <v>0.66</v>
      </c>
      <c r="W527">
        <v>0</v>
      </c>
      <c r="X527">
        <v>0</v>
      </c>
      <c r="Y527">
        <f t="shared" si="41"/>
        <v>0</v>
      </c>
      <c r="Z527">
        <f t="shared" si="42"/>
        <v>17.001600000000003</v>
      </c>
      <c r="AA527">
        <f t="shared" si="43"/>
        <v>17.001600000000003</v>
      </c>
      <c r="AB527">
        <f t="shared" si="44"/>
        <v>291.57744000000002</v>
      </c>
    </row>
    <row r="528" spans="1:28" ht="25.5" x14ac:dyDescent="0.25">
      <c r="A528" s="7">
        <v>527</v>
      </c>
      <c r="B528" s="7" t="s">
        <v>15</v>
      </c>
      <c r="C528" s="7" t="s">
        <v>116</v>
      </c>
      <c r="D528" s="7" t="s">
        <v>624</v>
      </c>
      <c r="E528" s="7"/>
      <c r="F528" s="8"/>
      <c r="G528" s="7" t="s">
        <v>624</v>
      </c>
      <c r="H528" s="9">
        <v>36.830015000000003</v>
      </c>
      <c r="I528" s="9">
        <v>10.339617000000001</v>
      </c>
      <c r="J528" s="7" t="s">
        <v>118</v>
      </c>
      <c r="K528" s="7" t="s">
        <v>37</v>
      </c>
      <c r="L528" s="7"/>
      <c r="M528" s="10">
        <v>16.170000000000002</v>
      </c>
      <c r="N528" s="7" t="s">
        <v>66</v>
      </c>
      <c r="O528" s="7"/>
      <c r="P528" s="8" t="s">
        <v>39</v>
      </c>
      <c r="Q528">
        <v>4.45</v>
      </c>
      <c r="R528">
        <v>17.3</v>
      </c>
      <c r="S528" t="s">
        <v>53</v>
      </c>
      <c r="T528">
        <v>10</v>
      </c>
      <c r="U528">
        <f t="shared" si="40"/>
        <v>44.5</v>
      </c>
      <c r="V528">
        <v>0.92</v>
      </c>
      <c r="W528">
        <v>160</v>
      </c>
      <c r="X528">
        <v>0.35</v>
      </c>
      <c r="Y528">
        <f t="shared" si="41"/>
        <v>56</v>
      </c>
      <c r="Z528">
        <f t="shared" si="42"/>
        <v>40.940000000000005</v>
      </c>
      <c r="AA528">
        <f t="shared" si="43"/>
        <v>0</v>
      </c>
      <c r="AB528">
        <f t="shared" si="44"/>
        <v>0</v>
      </c>
    </row>
    <row r="529" spans="1:28" ht="25.5" x14ac:dyDescent="0.25">
      <c r="A529" s="7">
        <v>528</v>
      </c>
      <c r="B529" s="7" t="s">
        <v>15</v>
      </c>
      <c r="C529" s="7" t="s">
        <v>119</v>
      </c>
      <c r="D529" s="7" t="s">
        <v>625</v>
      </c>
      <c r="E529" s="7"/>
      <c r="F529" s="8"/>
      <c r="G529" s="7" t="s">
        <v>625</v>
      </c>
      <c r="H529" s="9">
        <v>36.383907999999998</v>
      </c>
      <c r="I529" s="9">
        <v>9.6263240000000003</v>
      </c>
      <c r="J529" s="7" t="s">
        <v>121</v>
      </c>
      <c r="K529" s="7" t="s">
        <v>37</v>
      </c>
      <c r="L529" s="7"/>
      <c r="M529" s="10">
        <v>11.65</v>
      </c>
      <c r="N529" s="7" t="s">
        <v>70</v>
      </c>
      <c r="O529" s="7"/>
      <c r="P529" s="8" t="s">
        <v>39</v>
      </c>
      <c r="Q529">
        <v>2.96</v>
      </c>
      <c r="R529">
        <v>23.9</v>
      </c>
      <c r="S529" t="s">
        <v>53</v>
      </c>
      <c r="T529">
        <v>9</v>
      </c>
      <c r="U529">
        <f t="shared" si="40"/>
        <v>26.64</v>
      </c>
      <c r="V529">
        <v>1.03</v>
      </c>
      <c r="W529">
        <v>80</v>
      </c>
      <c r="X529">
        <v>0.35</v>
      </c>
      <c r="Y529">
        <f t="shared" si="41"/>
        <v>28</v>
      </c>
      <c r="Z529">
        <f t="shared" si="42"/>
        <v>27.4392</v>
      </c>
      <c r="AA529">
        <f t="shared" si="43"/>
        <v>0</v>
      </c>
      <c r="AB529">
        <f t="shared" si="44"/>
        <v>0</v>
      </c>
    </row>
    <row r="530" spans="1:28" ht="25.5" x14ac:dyDescent="0.25">
      <c r="A530" s="7">
        <v>529</v>
      </c>
      <c r="B530" s="7" t="s">
        <v>15</v>
      </c>
      <c r="C530" s="7" t="s">
        <v>34</v>
      </c>
      <c r="D530" s="7" t="s">
        <v>626</v>
      </c>
      <c r="E530" s="7"/>
      <c r="F530" s="8"/>
      <c r="G530" s="7" t="s">
        <v>626</v>
      </c>
      <c r="H530" s="9">
        <v>36.875718999999997</v>
      </c>
      <c r="I530" s="9">
        <v>10.228628</v>
      </c>
      <c r="J530" s="7" t="s">
        <v>36</v>
      </c>
      <c r="K530" s="7" t="s">
        <v>37</v>
      </c>
      <c r="L530" s="7"/>
      <c r="M530" s="10">
        <v>7.08</v>
      </c>
      <c r="N530" s="7" t="s">
        <v>74</v>
      </c>
      <c r="O530" s="7"/>
      <c r="P530" s="8" t="s">
        <v>39</v>
      </c>
      <c r="Q530">
        <v>7.16</v>
      </c>
      <c r="R530">
        <v>12.6</v>
      </c>
      <c r="S530" t="s">
        <v>91</v>
      </c>
      <c r="T530">
        <v>10</v>
      </c>
      <c r="U530">
        <f t="shared" si="40"/>
        <v>71.599999999999994</v>
      </c>
      <c r="V530">
        <v>1.22</v>
      </c>
      <c r="W530">
        <v>160</v>
      </c>
      <c r="X530">
        <v>0.35</v>
      </c>
      <c r="Y530">
        <f t="shared" si="41"/>
        <v>56</v>
      </c>
      <c r="Z530">
        <f t="shared" si="42"/>
        <v>87.35199999999999</v>
      </c>
      <c r="AA530">
        <f t="shared" si="43"/>
        <v>31.35199999999999</v>
      </c>
      <c r="AB530">
        <f t="shared" si="44"/>
        <v>221.97215999999992</v>
      </c>
    </row>
    <row r="531" spans="1:28" ht="25.5" x14ac:dyDescent="0.25">
      <c r="A531" s="7">
        <v>530</v>
      </c>
      <c r="B531" s="7" t="s">
        <v>15</v>
      </c>
      <c r="C531" s="7" t="s">
        <v>41</v>
      </c>
      <c r="D531" s="7" t="s">
        <v>627</v>
      </c>
      <c r="E531" s="7"/>
      <c r="F531" s="8"/>
      <c r="G531" s="7" t="s">
        <v>627</v>
      </c>
      <c r="H531" s="9">
        <v>36.672449999999998</v>
      </c>
      <c r="I531" s="9">
        <v>9.6281009999999991</v>
      </c>
      <c r="J531" s="7" t="s">
        <v>43</v>
      </c>
      <c r="K531" s="7" t="s">
        <v>37</v>
      </c>
      <c r="L531" s="7"/>
      <c r="M531" s="10">
        <v>13.48</v>
      </c>
      <c r="N531" s="7" t="s">
        <v>78</v>
      </c>
      <c r="O531" s="7"/>
      <c r="P531" s="8" t="s">
        <v>39</v>
      </c>
      <c r="Q531">
        <v>3.8</v>
      </c>
      <c r="R531">
        <v>26.4</v>
      </c>
      <c r="S531" t="s">
        <v>58</v>
      </c>
      <c r="T531">
        <v>14</v>
      </c>
      <c r="U531">
        <f t="shared" si="40"/>
        <v>53.199999999999996</v>
      </c>
      <c r="V531">
        <v>0.9</v>
      </c>
      <c r="W531">
        <v>0</v>
      </c>
      <c r="X531">
        <v>0</v>
      </c>
      <c r="Y531">
        <f t="shared" si="41"/>
        <v>0</v>
      </c>
      <c r="Z531">
        <f t="shared" si="42"/>
        <v>47.879999999999995</v>
      </c>
      <c r="AA531">
        <f t="shared" si="43"/>
        <v>47.879999999999995</v>
      </c>
      <c r="AB531">
        <f t="shared" si="44"/>
        <v>645.42239999999993</v>
      </c>
    </row>
    <row r="532" spans="1:28" ht="25.5" x14ac:dyDescent="0.25">
      <c r="A532" s="7">
        <v>531</v>
      </c>
      <c r="B532" s="7" t="s">
        <v>15</v>
      </c>
      <c r="C532" s="7" t="s">
        <v>45</v>
      </c>
      <c r="D532" s="7" t="s">
        <v>628</v>
      </c>
      <c r="E532" s="7"/>
      <c r="F532" s="8"/>
      <c r="G532" s="7" t="s">
        <v>628</v>
      </c>
      <c r="H532" s="9">
        <v>36.617722999999998</v>
      </c>
      <c r="I532" s="9">
        <v>10.293801</v>
      </c>
      <c r="J532" s="7" t="s">
        <v>47</v>
      </c>
      <c r="K532" s="7" t="s">
        <v>37</v>
      </c>
      <c r="L532" s="7"/>
      <c r="M532" s="10">
        <v>13.3</v>
      </c>
      <c r="N532" s="7" t="s">
        <v>38</v>
      </c>
      <c r="O532" s="7"/>
      <c r="P532" s="8" t="s">
        <v>39</v>
      </c>
      <c r="Q532">
        <v>1.86</v>
      </c>
      <c r="R532">
        <v>26.4</v>
      </c>
      <c r="S532" t="s">
        <v>58</v>
      </c>
      <c r="T532">
        <v>18</v>
      </c>
      <c r="U532">
        <f t="shared" si="40"/>
        <v>33.480000000000004</v>
      </c>
      <c r="V532">
        <v>0.9</v>
      </c>
      <c r="W532">
        <v>50</v>
      </c>
      <c r="X532">
        <v>0.35</v>
      </c>
      <c r="Y532">
        <f t="shared" si="41"/>
        <v>17.5</v>
      </c>
      <c r="Z532">
        <f t="shared" si="42"/>
        <v>30.132000000000005</v>
      </c>
      <c r="AA532">
        <f t="shared" si="43"/>
        <v>12.632000000000005</v>
      </c>
      <c r="AB532">
        <f t="shared" si="44"/>
        <v>168.00560000000007</v>
      </c>
    </row>
    <row r="533" spans="1:28" ht="25.5" x14ac:dyDescent="0.25">
      <c r="A533" s="7">
        <v>532</v>
      </c>
      <c r="B533" s="7" t="s">
        <v>15</v>
      </c>
      <c r="C533" s="7" t="s">
        <v>49</v>
      </c>
      <c r="D533" s="7" t="s">
        <v>629</v>
      </c>
      <c r="E533" s="7"/>
      <c r="F533" s="8"/>
      <c r="G533" s="7" t="s">
        <v>629</v>
      </c>
      <c r="H533" s="9">
        <v>37.168906999999997</v>
      </c>
      <c r="I533" s="9">
        <v>9.7876569999999994</v>
      </c>
      <c r="J533" s="7" t="s">
        <v>51</v>
      </c>
      <c r="K533" s="7" t="s">
        <v>37</v>
      </c>
      <c r="L533" s="7"/>
      <c r="M533" s="10">
        <v>4.09</v>
      </c>
      <c r="N533" s="7" t="s">
        <v>44</v>
      </c>
      <c r="O533" s="7"/>
      <c r="P533" s="8" t="s">
        <v>39</v>
      </c>
      <c r="Q533">
        <v>1.93</v>
      </c>
      <c r="R533">
        <v>40.9</v>
      </c>
      <c r="S533" t="s">
        <v>40</v>
      </c>
      <c r="T533">
        <v>18</v>
      </c>
      <c r="U533">
        <f t="shared" si="40"/>
        <v>34.74</v>
      </c>
      <c r="V533">
        <v>0.6</v>
      </c>
      <c r="W533">
        <v>0</v>
      </c>
      <c r="X533">
        <v>0</v>
      </c>
      <c r="Y533">
        <f t="shared" si="41"/>
        <v>0</v>
      </c>
      <c r="Z533">
        <f t="shared" si="42"/>
        <v>20.844000000000001</v>
      </c>
      <c r="AA533">
        <f t="shared" si="43"/>
        <v>20.844000000000001</v>
      </c>
      <c r="AB533">
        <f t="shared" si="44"/>
        <v>85.251959999999997</v>
      </c>
    </row>
    <row r="534" spans="1:28" ht="25.5" x14ac:dyDescent="0.25">
      <c r="A534" s="7">
        <v>533</v>
      </c>
      <c r="B534" s="7" t="s">
        <v>15</v>
      </c>
      <c r="C534" s="7" t="s">
        <v>54</v>
      </c>
      <c r="D534" s="7" t="s">
        <v>630</v>
      </c>
      <c r="E534" s="7"/>
      <c r="F534" s="8"/>
      <c r="G534" s="7" t="s">
        <v>630</v>
      </c>
      <c r="H534" s="9">
        <v>33.624403999999998</v>
      </c>
      <c r="I534" s="9">
        <v>10.30293</v>
      </c>
      <c r="J534" s="7" t="s">
        <v>56</v>
      </c>
      <c r="K534" s="7" t="s">
        <v>37</v>
      </c>
      <c r="L534" s="7"/>
      <c r="M534" s="10">
        <v>3.57</v>
      </c>
      <c r="N534" s="7" t="s">
        <v>48</v>
      </c>
      <c r="O534" s="7"/>
      <c r="P534" s="8" t="s">
        <v>39</v>
      </c>
      <c r="Q534">
        <v>5.98</v>
      </c>
      <c r="R534">
        <v>21.2</v>
      </c>
      <c r="S534" t="s">
        <v>53</v>
      </c>
      <c r="T534">
        <v>16</v>
      </c>
      <c r="U534">
        <f t="shared" si="40"/>
        <v>95.68</v>
      </c>
      <c r="V534">
        <v>1.03</v>
      </c>
      <c r="W534">
        <v>160</v>
      </c>
      <c r="X534">
        <v>0.35</v>
      </c>
      <c r="Y534">
        <f t="shared" si="41"/>
        <v>56</v>
      </c>
      <c r="Z534">
        <f t="shared" si="42"/>
        <v>98.55040000000001</v>
      </c>
      <c r="AA534">
        <f t="shared" si="43"/>
        <v>42.55040000000001</v>
      </c>
      <c r="AB534">
        <f t="shared" si="44"/>
        <v>151.90492800000004</v>
      </c>
    </row>
    <row r="535" spans="1:28" ht="25.5" x14ac:dyDescent="0.25">
      <c r="A535" s="7">
        <v>534</v>
      </c>
      <c r="B535" s="7" t="s">
        <v>15</v>
      </c>
      <c r="C535" s="7" t="s">
        <v>59</v>
      </c>
      <c r="D535" s="7" t="s">
        <v>631</v>
      </c>
      <c r="E535" s="7"/>
      <c r="F535" s="8"/>
      <c r="G535" s="7" t="s">
        <v>631</v>
      </c>
      <c r="H535" s="9">
        <v>34.317405999999998</v>
      </c>
      <c r="I535" s="9">
        <v>8.3766350000000003</v>
      </c>
      <c r="J535" s="7" t="s">
        <v>61</v>
      </c>
      <c r="K535" s="7" t="s">
        <v>37</v>
      </c>
      <c r="L535" s="7"/>
      <c r="M535" s="10">
        <v>24.54</v>
      </c>
      <c r="N535" s="7" t="s">
        <v>52</v>
      </c>
      <c r="O535" s="7"/>
      <c r="P535" s="8" t="s">
        <v>39</v>
      </c>
      <c r="Q535">
        <v>5.46</v>
      </c>
      <c r="R535">
        <v>12.7</v>
      </c>
      <c r="S535" t="s">
        <v>91</v>
      </c>
      <c r="T535">
        <v>12</v>
      </c>
      <c r="U535">
        <f t="shared" si="40"/>
        <v>65.52</v>
      </c>
      <c r="V535">
        <v>1.49</v>
      </c>
      <c r="W535">
        <v>0</v>
      </c>
      <c r="X535">
        <v>0</v>
      </c>
      <c r="Y535">
        <f t="shared" si="41"/>
        <v>0</v>
      </c>
      <c r="Z535">
        <f t="shared" si="42"/>
        <v>97.624799999999993</v>
      </c>
      <c r="AA535">
        <f t="shared" si="43"/>
        <v>97.624799999999993</v>
      </c>
      <c r="AB535">
        <f t="shared" si="44"/>
        <v>2395.7125919999999</v>
      </c>
    </row>
    <row r="536" spans="1:28" ht="25.5" x14ac:dyDescent="0.25">
      <c r="A536" s="7">
        <v>535</v>
      </c>
      <c r="B536" s="7" t="s">
        <v>15</v>
      </c>
      <c r="C536" s="7" t="s">
        <v>63</v>
      </c>
      <c r="D536" s="7" t="s">
        <v>632</v>
      </c>
      <c r="E536" s="7"/>
      <c r="F536" s="8"/>
      <c r="G536" s="7" t="s">
        <v>632</v>
      </c>
      <c r="H536" s="9">
        <v>36.943319000000002</v>
      </c>
      <c r="I536" s="9">
        <v>8.766095</v>
      </c>
      <c r="J536" s="7" t="s">
        <v>65</v>
      </c>
      <c r="K536" s="7" t="s">
        <v>37</v>
      </c>
      <c r="L536" s="7"/>
      <c r="M536" s="10">
        <v>1.1000000000000001</v>
      </c>
      <c r="N536" s="7" t="s">
        <v>57</v>
      </c>
      <c r="O536" s="7"/>
      <c r="P536" s="8" t="s">
        <v>39</v>
      </c>
      <c r="Q536">
        <v>7.12</v>
      </c>
      <c r="R536">
        <v>12.8</v>
      </c>
      <c r="S536" t="s">
        <v>91</v>
      </c>
      <c r="T536">
        <v>8</v>
      </c>
      <c r="U536">
        <f t="shared" si="40"/>
        <v>56.96</v>
      </c>
      <c r="V536">
        <v>1.6</v>
      </c>
      <c r="W536">
        <v>50</v>
      </c>
      <c r="X536">
        <v>0.35</v>
      </c>
      <c r="Y536">
        <f t="shared" si="41"/>
        <v>17.5</v>
      </c>
      <c r="Z536">
        <f t="shared" si="42"/>
        <v>91.13600000000001</v>
      </c>
      <c r="AA536">
        <f t="shared" si="43"/>
        <v>73.63600000000001</v>
      </c>
      <c r="AB536">
        <f t="shared" si="44"/>
        <v>80.999600000000015</v>
      </c>
    </row>
    <row r="537" spans="1:28" ht="25.5" x14ac:dyDescent="0.25">
      <c r="A537" s="7">
        <v>536</v>
      </c>
      <c r="B537" s="7" t="s">
        <v>15</v>
      </c>
      <c r="C537" s="7" t="s">
        <v>67</v>
      </c>
      <c r="D537" s="7" t="s">
        <v>633</v>
      </c>
      <c r="E537" s="7"/>
      <c r="F537" s="8"/>
      <c r="G537" s="7" t="s">
        <v>633</v>
      </c>
      <c r="H537" s="9">
        <v>35.592910000000003</v>
      </c>
      <c r="I537" s="9">
        <v>9.8945749999999997</v>
      </c>
      <c r="J537" s="7" t="s">
        <v>69</v>
      </c>
      <c r="K537" s="7" t="s">
        <v>37</v>
      </c>
      <c r="L537" s="7"/>
      <c r="M537" s="10">
        <v>9.74</v>
      </c>
      <c r="N537" s="7" t="s">
        <v>62</v>
      </c>
      <c r="O537" s="7"/>
      <c r="P537" s="8" t="s">
        <v>39</v>
      </c>
      <c r="Q537">
        <v>7.51</v>
      </c>
      <c r="R537">
        <v>10.4</v>
      </c>
      <c r="S537" t="s">
        <v>91</v>
      </c>
      <c r="T537">
        <v>7</v>
      </c>
      <c r="U537">
        <f t="shared" si="40"/>
        <v>52.57</v>
      </c>
      <c r="V537">
        <v>1.49</v>
      </c>
      <c r="W537">
        <v>120</v>
      </c>
      <c r="X537">
        <v>0.35</v>
      </c>
      <c r="Y537">
        <f t="shared" si="41"/>
        <v>42</v>
      </c>
      <c r="Z537">
        <f t="shared" si="42"/>
        <v>78.329300000000003</v>
      </c>
      <c r="AA537">
        <f t="shared" si="43"/>
        <v>36.329300000000003</v>
      </c>
      <c r="AB537">
        <f t="shared" si="44"/>
        <v>353.84738200000004</v>
      </c>
    </row>
    <row r="538" spans="1:28" ht="25.5" x14ac:dyDescent="0.25">
      <c r="A538" s="7">
        <v>537</v>
      </c>
      <c r="B538" s="7" t="s">
        <v>15</v>
      </c>
      <c r="C538" s="7" t="s">
        <v>71</v>
      </c>
      <c r="D538" s="7" t="s">
        <v>634</v>
      </c>
      <c r="E538" s="7"/>
      <c r="F538" s="8"/>
      <c r="G538" s="7" t="s">
        <v>634</v>
      </c>
      <c r="H538" s="9">
        <v>35.219006999999998</v>
      </c>
      <c r="I538" s="9">
        <v>9.1145180000000003</v>
      </c>
      <c r="J538" s="7" t="s">
        <v>73</v>
      </c>
      <c r="K538" s="7" t="s">
        <v>37</v>
      </c>
      <c r="L538" s="7"/>
      <c r="M538" s="10">
        <v>19.93</v>
      </c>
      <c r="N538" s="7" t="s">
        <v>66</v>
      </c>
      <c r="O538" s="7"/>
      <c r="P538" s="8" t="s">
        <v>39</v>
      </c>
      <c r="Q538">
        <v>2.08</v>
      </c>
      <c r="R538">
        <v>15.1</v>
      </c>
      <c r="S538" t="s">
        <v>53</v>
      </c>
      <c r="T538">
        <v>10</v>
      </c>
      <c r="U538">
        <f t="shared" si="40"/>
        <v>20.8</v>
      </c>
      <c r="V538">
        <v>0.92</v>
      </c>
      <c r="W538">
        <v>160</v>
      </c>
      <c r="X538">
        <v>0.35</v>
      </c>
      <c r="Y538">
        <f t="shared" si="41"/>
        <v>56</v>
      </c>
      <c r="Z538">
        <f t="shared" si="42"/>
        <v>19.136000000000003</v>
      </c>
      <c r="AA538">
        <f t="shared" si="43"/>
        <v>0</v>
      </c>
      <c r="AB538">
        <f t="shared" si="44"/>
        <v>0</v>
      </c>
    </row>
    <row r="539" spans="1:28" ht="25.5" x14ac:dyDescent="0.25">
      <c r="A539" s="7">
        <v>538</v>
      </c>
      <c r="B539" s="7" t="s">
        <v>15</v>
      </c>
      <c r="C539" s="7" t="s">
        <v>75</v>
      </c>
      <c r="D539" s="7" t="s">
        <v>635</v>
      </c>
      <c r="E539" s="7"/>
      <c r="F539" s="8"/>
      <c r="G539" s="7" t="s">
        <v>635</v>
      </c>
      <c r="H539" s="9">
        <v>33.490201999999996</v>
      </c>
      <c r="I539" s="9">
        <v>9.0235760000000003</v>
      </c>
      <c r="J539" s="7" t="s">
        <v>77</v>
      </c>
      <c r="K539" s="7" t="s">
        <v>37</v>
      </c>
      <c r="L539" s="7"/>
      <c r="M539" s="10">
        <v>3.27</v>
      </c>
      <c r="N539" s="7" t="s">
        <v>70</v>
      </c>
      <c r="O539" s="7"/>
      <c r="P539" s="8" t="s">
        <v>39</v>
      </c>
      <c r="Q539">
        <v>2.12</v>
      </c>
      <c r="R539">
        <v>41.4</v>
      </c>
      <c r="S539" t="s">
        <v>40</v>
      </c>
      <c r="T539">
        <v>9</v>
      </c>
      <c r="U539">
        <f t="shared" si="40"/>
        <v>19.080000000000002</v>
      </c>
      <c r="V539">
        <v>0.54</v>
      </c>
      <c r="W539">
        <v>0</v>
      </c>
      <c r="X539">
        <v>0</v>
      </c>
      <c r="Y539">
        <f t="shared" si="41"/>
        <v>0</v>
      </c>
      <c r="Z539">
        <f t="shared" si="42"/>
        <v>10.303200000000002</v>
      </c>
      <c r="AA539">
        <f t="shared" si="43"/>
        <v>10.303200000000002</v>
      </c>
      <c r="AB539">
        <f t="shared" si="44"/>
        <v>33.691464000000011</v>
      </c>
    </row>
    <row r="540" spans="1:28" ht="25.5" x14ac:dyDescent="0.25">
      <c r="A540" s="7">
        <v>539</v>
      </c>
      <c r="B540" s="7" t="s">
        <v>15</v>
      </c>
      <c r="C540" s="7" t="s">
        <v>79</v>
      </c>
      <c r="D540" s="7" t="s">
        <v>636</v>
      </c>
      <c r="E540" s="7"/>
      <c r="F540" s="8"/>
      <c r="G540" s="7" t="s">
        <v>636</v>
      </c>
      <c r="H540" s="9">
        <v>35.953147999999999</v>
      </c>
      <c r="I540" s="9">
        <v>8.8362569999999998</v>
      </c>
      <c r="J540" s="7" t="s">
        <v>81</v>
      </c>
      <c r="K540" s="7" t="s">
        <v>37</v>
      </c>
      <c r="L540" s="7"/>
      <c r="M540" s="10">
        <v>1.1599999999999999</v>
      </c>
      <c r="N540" s="7" t="s">
        <v>74</v>
      </c>
      <c r="O540" s="7"/>
      <c r="P540" s="8" t="s">
        <v>39</v>
      </c>
      <c r="Q540">
        <v>5.82</v>
      </c>
      <c r="R540">
        <v>27.4</v>
      </c>
      <c r="S540" t="s">
        <v>58</v>
      </c>
      <c r="T540">
        <v>10</v>
      </c>
      <c r="U540">
        <f t="shared" si="40"/>
        <v>58.2</v>
      </c>
      <c r="V540">
        <v>0.81</v>
      </c>
      <c r="W540">
        <v>120</v>
      </c>
      <c r="X540">
        <v>0.35</v>
      </c>
      <c r="Y540">
        <f t="shared" si="41"/>
        <v>42</v>
      </c>
      <c r="Z540">
        <f t="shared" si="42"/>
        <v>47.142000000000003</v>
      </c>
      <c r="AA540">
        <f t="shared" si="43"/>
        <v>5.142000000000003</v>
      </c>
      <c r="AB540">
        <f t="shared" si="44"/>
        <v>5.9647200000000034</v>
      </c>
    </row>
    <row r="541" spans="1:28" ht="25.5" x14ac:dyDescent="0.25">
      <c r="A541" s="7">
        <v>540</v>
      </c>
      <c r="B541" s="7" t="s">
        <v>15</v>
      </c>
      <c r="C541" s="7" t="s">
        <v>82</v>
      </c>
      <c r="D541" s="7" t="s">
        <v>637</v>
      </c>
      <c r="E541" s="7"/>
      <c r="F541" s="8"/>
      <c r="G541" s="7" t="s">
        <v>637</v>
      </c>
      <c r="H541" s="9">
        <v>35.241537999999998</v>
      </c>
      <c r="I541" s="9">
        <v>11.131698999999999</v>
      </c>
      <c r="J541" s="7" t="s">
        <v>84</v>
      </c>
      <c r="K541" s="7" t="s">
        <v>37</v>
      </c>
      <c r="L541" s="7"/>
      <c r="M541" s="10">
        <v>18.98</v>
      </c>
      <c r="N541" s="7" t="s">
        <v>78</v>
      </c>
      <c r="O541" s="7"/>
      <c r="P541" s="8" t="s">
        <v>39</v>
      </c>
      <c r="Q541">
        <v>2.7</v>
      </c>
      <c r="R541">
        <v>16</v>
      </c>
      <c r="S541" t="s">
        <v>53</v>
      </c>
      <c r="T541">
        <v>14</v>
      </c>
      <c r="U541">
        <f t="shared" si="40"/>
        <v>37.800000000000004</v>
      </c>
      <c r="V541">
        <v>1.1499999999999999</v>
      </c>
      <c r="W541">
        <v>0</v>
      </c>
      <c r="X541">
        <v>0</v>
      </c>
      <c r="Y541">
        <f t="shared" si="41"/>
        <v>0</v>
      </c>
      <c r="Z541">
        <f t="shared" si="42"/>
        <v>43.47</v>
      </c>
      <c r="AA541">
        <f t="shared" si="43"/>
        <v>43.47</v>
      </c>
      <c r="AB541">
        <f t="shared" si="44"/>
        <v>825.06060000000002</v>
      </c>
    </row>
    <row r="542" spans="1:28" ht="25.5" x14ac:dyDescent="0.25">
      <c r="A542" s="7">
        <v>541</v>
      </c>
      <c r="B542" s="7" t="s">
        <v>15</v>
      </c>
      <c r="C542" s="7" t="s">
        <v>85</v>
      </c>
      <c r="D542" s="7" t="s">
        <v>638</v>
      </c>
      <c r="E542" s="7"/>
      <c r="F542" s="8"/>
      <c r="G542" s="7" t="s">
        <v>638</v>
      </c>
      <c r="H542" s="9">
        <v>36.818658999999997</v>
      </c>
      <c r="I542" s="9">
        <v>9.8721650000000007</v>
      </c>
      <c r="J542" s="7" t="s">
        <v>87</v>
      </c>
      <c r="K542" s="7" t="s">
        <v>37</v>
      </c>
      <c r="L542" s="7"/>
      <c r="M542" s="10">
        <v>19.91</v>
      </c>
      <c r="N542" s="7" t="s">
        <v>38</v>
      </c>
      <c r="O542" s="7"/>
      <c r="P542" s="8" t="s">
        <v>39</v>
      </c>
      <c r="Q542">
        <v>6.32</v>
      </c>
      <c r="R542">
        <v>12.3</v>
      </c>
      <c r="S542" t="s">
        <v>91</v>
      </c>
      <c r="T542">
        <v>18</v>
      </c>
      <c r="U542">
        <f t="shared" si="40"/>
        <v>113.76</v>
      </c>
      <c r="V542">
        <v>1.35</v>
      </c>
      <c r="W542">
        <v>0</v>
      </c>
      <c r="X542">
        <v>0</v>
      </c>
      <c r="Y542">
        <f t="shared" si="41"/>
        <v>0</v>
      </c>
      <c r="Z542">
        <f t="shared" si="42"/>
        <v>153.57600000000002</v>
      </c>
      <c r="AA542">
        <f t="shared" si="43"/>
        <v>153.57600000000002</v>
      </c>
      <c r="AB542">
        <f t="shared" si="44"/>
        <v>3057.6981600000004</v>
      </c>
    </row>
    <row r="543" spans="1:28" ht="25.5" x14ac:dyDescent="0.25">
      <c r="A543" s="7">
        <v>542</v>
      </c>
      <c r="B543" s="7" t="s">
        <v>15</v>
      </c>
      <c r="C543" s="7" t="s">
        <v>88</v>
      </c>
      <c r="D543" s="7" t="s">
        <v>639</v>
      </c>
      <c r="E543" s="7"/>
      <c r="F543" s="8"/>
      <c r="G543" s="7" t="s">
        <v>639</v>
      </c>
      <c r="H543" s="9">
        <v>33.824485000000003</v>
      </c>
      <c r="I543" s="9">
        <v>11.023555</v>
      </c>
      <c r="J543" s="7" t="s">
        <v>90</v>
      </c>
      <c r="K543" s="7" t="s">
        <v>37</v>
      </c>
      <c r="L543" s="7"/>
      <c r="M543" s="10">
        <v>15.75</v>
      </c>
      <c r="N543" s="7" t="s">
        <v>44</v>
      </c>
      <c r="O543" s="7"/>
      <c r="P543" s="8" t="s">
        <v>39</v>
      </c>
      <c r="Q543">
        <v>5.27</v>
      </c>
      <c r="R543">
        <v>13.4</v>
      </c>
      <c r="S543" t="s">
        <v>91</v>
      </c>
      <c r="T543">
        <v>18</v>
      </c>
      <c r="U543">
        <f t="shared" si="40"/>
        <v>94.859999999999985</v>
      </c>
      <c r="V543">
        <v>1.35</v>
      </c>
      <c r="W543">
        <v>160</v>
      </c>
      <c r="X543">
        <v>0.35</v>
      </c>
      <c r="Y543">
        <f t="shared" si="41"/>
        <v>56</v>
      </c>
      <c r="Z543">
        <f t="shared" si="42"/>
        <v>128.06099999999998</v>
      </c>
      <c r="AA543">
        <f t="shared" si="43"/>
        <v>72.060999999999979</v>
      </c>
      <c r="AB543">
        <f t="shared" si="44"/>
        <v>1134.9607499999997</v>
      </c>
    </row>
    <row r="544" spans="1:28" ht="25.5" x14ac:dyDescent="0.25">
      <c r="A544" s="7">
        <v>543</v>
      </c>
      <c r="B544" s="7" t="s">
        <v>15</v>
      </c>
      <c r="C544" s="7" t="s">
        <v>92</v>
      </c>
      <c r="D544" s="7" t="s">
        <v>640</v>
      </c>
      <c r="E544" s="7"/>
      <c r="F544" s="8"/>
      <c r="G544" s="7" t="s">
        <v>640</v>
      </c>
      <c r="H544" s="9">
        <v>35.601446000000003</v>
      </c>
      <c r="I544" s="9">
        <v>10.734896000000001</v>
      </c>
      <c r="J544" s="7" t="s">
        <v>94</v>
      </c>
      <c r="K544" s="7" t="s">
        <v>37</v>
      </c>
      <c r="L544" s="7"/>
      <c r="M544" s="10">
        <v>16.420000000000002</v>
      </c>
      <c r="N544" s="7" t="s">
        <v>48</v>
      </c>
      <c r="O544" s="7"/>
      <c r="P544" s="8" t="s">
        <v>39</v>
      </c>
      <c r="Q544">
        <v>4.6100000000000003</v>
      </c>
      <c r="R544">
        <v>14.2</v>
      </c>
      <c r="S544" t="s">
        <v>91</v>
      </c>
      <c r="T544">
        <v>16</v>
      </c>
      <c r="U544">
        <f t="shared" si="40"/>
        <v>73.760000000000005</v>
      </c>
      <c r="V544">
        <v>1.22</v>
      </c>
      <c r="W544">
        <v>50</v>
      </c>
      <c r="X544">
        <v>0.35</v>
      </c>
      <c r="Y544">
        <f t="shared" si="41"/>
        <v>17.5</v>
      </c>
      <c r="Z544">
        <f t="shared" si="42"/>
        <v>89.987200000000001</v>
      </c>
      <c r="AA544">
        <f t="shared" si="43"/>
        <v>72.487200000000001</v>
      </c>
      <c r="AB544">
        <f t="shared" si="44"/>
        <v>1190.2398240000002</v>
      </c>
    </row>
    <row r="545" spans="1:28" ht="25.5" x14ac:dyDescent="0.25">
      <c r="A545" s="7">
        <v>544</v>
      </c>
      <c r="B545" s="7" t="s">
        <v>15</v>
      </c>
      <c r="C545" s="7" t="s">
        <v>95</v>
      </c>
      <c r="D545" s="7" t="s">
        <v>641</v>
      </c>
      <c r="E545" s="7"/>
      <c r="F545" s="8"/>
      <c r="G545" s="7" t="s">
        <v>641</v>
      </c>
      <c r="H545" s="9">
        <v>36.579033000000003</v>
      </c>
      <c r="I545" s="9">
        <v>10.867300999999999</v>
      </c>
      <c r="J545" s="7" t="s">
        <v>97</v>
      </c>
      <c r="K545" s="7" t="s">
        <v>37</v>
      </c>
      <c r="L545" s="7"/>
      <c r="M545" s="10">
        <v>4.34</v>
      </c>
      <c r="N545" s="7" t="s">
        <v>52</v>
      </c>
      <c r="O545" s="7"/>
      <c r="P545" s="8" t="s">
        <v>39</v>
      </c>
      <c r="Q545">
        <v>5.01</v>
      </c>
      <c r="R545">
        <v>32.200000000000003</v>
      </c>
      <c r="S545" t="s">
        <v>58</v>
      </c>
      <c r="T545">
        <v>12</v>
      </c>
      <c r="U545">
        <f t="shared" si="40"/>
        <v>60.12</v>
      </c>
      <c r="V545">
        <v>0.99</v>
      </c>
      <c r="W545">
        <v>50</v>
      </c>
      <c r="X545">
        <v>0.35</v>
      </c>
      <c r="Y545">
        <f t="shared" si="41"/>
        <v>17.5</v>
      </c>
      <c r="Z545">
        <f t="shared" si="42"/>
        <v>59.518799999999999</v>
      </c>
      <c r="AA545">
        <f t="shared" si="43"/>
        <v>42.018799999999999</v>
      </c>
      <c r="AB545">
        <f t="shared" si="44"/>
        <v>182.361592</v>
      </c>
    </row>
    <row r="546" spans="1:28" ht="25.5" x14ac:dyDescent="0.25">
      <c r="A546" s="7">
        <v>545</v>
      </c>
      <c r="B546" s="7" t="s">
        <v>15</v>
      </c>
      <c r="C546" s="7" t="s">
        <v>98</v>
      </c>
      <c r="D546" s="7" t="s">
        <v>642</v>
      </c>
      <c r="E546" s="7"/>
      <c r="F546" s="8"/>
      <c r="G546" s="7" t="s">
        <v>642</v>
      </c>
      <c r="H546" s="9">
        <v>34.732432000000003</v>
      </c>
      <c r="I546" s="9">
        <v>10.520115000000001</v>
      </c>
      <c r="J546" s="7" t="s">
        <v>100</v>
      </c>
      <c r="K546" s="7" t="s">
        <v>37</v>
      </c>
      <c r="L546" s="7"/>
      <c r="M546" s="10">
        <v>10.210000000000001</v>
      </c>
      <c r="N546" s="7" t="s">
        <v>57</v>
      </c>
      <c r="O546" s="7"/>
      <c r="P546" s="8" t="s">
        <v>39</v>
      </c>
      <c r="Q546">
        <v>5.47</v>
      </c>
      <c r="R546">
        <v>17.600000000000001</v>
      </c>
      <c r="S546" t="s">
        <v>53</v>
      </c>
      <c r="T546">
        <v>8</v>
      </c>
      <c r="U546">
        <f t="shared" si="40"/>
        <v>43.76</v>
      </c>
      <c r="V546">
        <v>1.38</v>
      </c>
      <c r="W546">
        <v>0</v>
      </c>
      <c r="X546">
        <v>0</v>
      </c>
      <c r="Y546">
        <f t="shared" si="41"/>
        <v>0</v>
      </c>
      <c r="Z546">
        <f t="shared" si="42"/>
        <v>60.388799999999989</v>
      </c>
      <c r="AA546">
        <f t="shared" si="43"/>
        <v>60.388799999999989</v>
      </c>
      <c r="AB546">
        <f t="shared" si="44"/>
        <v>616.56964799999992</v>
      </c>
    </row>
    <row r="547" spans="1:28" ht="25.5" x14ac:dyDescent="0.25">
      <c r="A547" s="7">
        <v>546</v>
      </c>
      <c r="B547" s="7" t="s">
        <v>15</v>
      </c>
      <c r="C547" s="7" t="s">
        <v>101</v>
      </c>
      <c r="D547" s="7" t="s">
        <v>643</v>
      </c>
      <c r="E547" s="7"/>
      <c r="F547" s="8"/>
      <c r="G547" s="7" t="s">
        <v>643</v>
      </c>
      <c r="H547" s="9">
        <v>34.932217000000001</v>
      </c>
      <c r="I547" s="9">
        <v>9.788316</v>
      </c>
      <c r="J547" s="7" t="s">
        <v>103</v>
      </c>
      <c r="K547" s="7" t="s">
        <v>37</v>
      </c>
      <c r="L547" s="7"/>
      <c r="M547" s="10">
        <v>4.07</v>
      </c>
      <c r="N547" s="7" t="s">
        <v>62</v>
      </c>
      <c r="O547" s="7"/>
      <c r="P547" s="8" t="s">
        <v>39</v>
      </c>
      <c r="Q547">
        <v>4.58</v>
      </c>
      <c r="R547">
        <v>17</v>
      </c>
      <c r="S547" t="s">
        <v>53</v>
      </c>
      <c r="T547">
        <v>7</v>
      </c>
      <c r="U547">
        <f t="shared" si="40"/>
        <v>32.06</v>
      </c>
      <c r="V547">
        <v>1.26</v>
      </c>
      <c r="W547">
        <v>160</v>
      </c>
      <c r="X547">
        <v>0.35</v>
      </c>
      <c r="Y547">
        <f t="shared" si="41"/>
        <v>56</v>
      </c>
      <c r="Z547">
        <f t="shared" si="42"/>
        <v>40.395600000000002</v>
      </c>
      <c r="AA547">
        <f t="shared" si="43"/>
        <v>0</v>
      </c>
      <c r="AB547">
        <f t="shared" si="44"/>
        <v>0</v>
      </c>
    </row>
    <row r="548" spans="1:28" ht="25.5" x14ac:dyDescent="0.25">
      <c r="A548" s="7">
        <v>547</v>
      </c>
      <c r="B548" s="7" t="s">
        <v>15</v>
      </c>
      <c r="C548" s="7" t="s">
        <v>104</v>
      </c>
      <c r="D548" s="7" t="s">
        <v>644</v>
      </c>
      <c r="E548" s="7"/>
      <c r="F548" s="8"/>
      <c r="G548" s="7" t="s">
        <v>644</v>
      </c>
      <c r="H548" s="9">
        <v>35.853679999999997</v>
      </c>
      <c r="I548" s="9">
        <v>9.1938800000000001</v>
      </c>
      <c r="J548" s="7" t="s">
        <v>106</v>
      </c>
      <c r="K548" s="7" t="s">
        <v>37</v>
      </c>
      <c r="L548" s="7"/>
      <c r="M548" s="10">
        <v>9.16</v>
      </c>
      <c r="N548" s="7" t="s">
        <v>66</v>
      </c>
      <c r="O548" s="7"/>
      <c r="P548" s="8" t="s">
        <v>39</v>
      </c>
      <c r="Q548">
        <v>5.65</v>
      </c>
      <c r="R548">
        <v>44.6</v>
      </c>
      <c r="S548" t="s">
        <v>40</v>
      </c>
      <c r="T548">
        <v>10</v>
      </c>
      <c r="U548">
        <f t="shared" si="40"/>
        <v>56.5</v>
      </c>
      <c r="V548">
        <v>0.48</v>
      </c>
      <c r="W548">
        <v>120</v>
      </c>
      <c r="X548">
        <v>0.35</v>
      </c>
      <c r="Y548">
        <f t="shared" si="41"/>
        <v>42</v>
      </c>
      <c r="Z548">
        <f t="shared" si="42"/>
        <v>27.119999999999997</v>
      </c>
      <c r="AA548">
        <f t="shared" si="43"/>
        <v>0</v>
      </c>
      <c r="AB548">
        <f t="shared" si="44"/>
        <v>0</v>
      </c>
    </row>
    <row r="549" spans="1:28" ht="25.5" x14ac:dyDescent="0.25">
      <c r="A549" s="7">
        <v>548</v>
      </c>
      <c r="B549" s="7" t="s">
        <v>15</v>
      </c>
      <c r="C549" s="7" t="s">
        <v>107</v>
      </c>
      <c r="D549" s="7" t="s">
        <v>645</v>
      </c>
      <c r="E549" s="7"/>
      <c r="F549" s="8"/>
      <c r="G549" s="7" t="s">
        <v>645</v>
      </c>
      <c r="H549" s="9">
        <v>36.146431999999997</v>
      </c>
      <c r="I549" s="9">
        <v>10.362441</v>
      </c>
      <c r="J549" s="7" t="s">
        <v>109</v>
      </c>
      <c r="K549" s="7" t="s">
        <v>37</v>
      </c>
      <c r="L549" s="7"/>
      <c r="M549" s="10">
        <v>15.65</v>
      </c>
      <c r="N549" s="7" t="s">
        <v>70</v>
      </c>
      <c r="O549" s="7"/>
      <c r="P549" s="8" t="s">
        <v>39</v>
      </c>
      <c r="Q549">
        <v>4.72</v>
      </c>
      <c r="R549">
        <v>37.799999999999997</v>
      </c>
      <c r="S549" t="s">
        <v>40</v>
      </c>
      <c r="T549">
        <v>9</v>
      </c>
      <c r="U549">
        <f t="shared" si="40"/>
        <v>42.48</v>
      </c>
      <c r="V549">
        <v>0.54</v>
      </c>
      <c r="W549">
        <v>0</v>
      </c>
      <c r="X549">
        <v>0</v>
      </c>
      <c r="Y549">
        <f t="shared" si="41"/>
        <v>0</v>
      </c>
      <c r="Z549">
        <f t="shared" si="42"/>
        <v>22.9392</v>
      </c>
      <c r="AA549">
        <f t="shared" si="43"/>
        <v>22.9392</v>
      </c>
      <c r="AB549">
        <f t="shared" si="44"/>
        <v>358.99848000000003</v>
      </c>
    </row>
    <row r="550" spans="1:28" ht="25.5" x14ac:dyDescent="0.25">
      <c r="A550" s="7">
        <v>549</v>
      </c>
      <c r="B550" s="7" t="s">
        <v>15</v>
      </c>
      <c r="C550" s="7" t="s">
        <v>110</v>
      </c>
      <c r="D550" s="7" t="s">
        <v>646</v>
      </c>
      <c r="E550" s="7"/>
      <c r="F550" s="8"/>
      <c r="G550" s="7" t="s">
        <v>646</v>
      </c>
      <c r="H550" s="9">
        <v>33.147137999999998</v>
      </c>
      <c r="I550" s="9">
        <v>10.230472000000001</v>
      </c>
      <c r="J550" s="7" t="s">
        <v>112</v>
      </c>
      <c r="K550" s="7" t="s">
        <v>37</v>
      </c>
      <c r="L550" s="7"/>
      <c r="M550" s="10">
        <v>22.82</v>
      </c>
      <c r="N550" s="7" t="s">
        <v>74</v>
      </c>
      <c r="O550" s="7"/>
      <c r="P550" s="8" t="s">
        <v>39</v>
      </c>
      <c r="Q550">
        <v>6.14</v>
      </c>
      <c r="R550">
        <v>30.7</v>
      </c>
      <c r="S550" t="s">
        <v>58</v>
      </c>
      <c r="T550">
        <v>10</v>
      </c>
      <c r="U550">
        <f t="shared" si="40"/>
        <v>61.4</v>
      </c>
      <c r="V550">
        <v>0.81</v>
      </c>
      <c r="W550">
        <v>0</v>
      </c>
      <c r="X550">
        <v>0</v>
      </c>
      <c r="Y550">
        <f t="shared" si="41"/>
        <v>0</v>
      </c>
      <c r="Z550">
        <f t="shared" si="42"/>
        <v>49.734000000000002</v>
      </c>
      <c r="AA550">
        <f t="shared" si="43"/>
        <v>49.734000000000002</v>
      </c>
      <c r="AB550">
        <f t="shared" si="44"/>
        <v>1134.9298800000001</v>
      </c>
    </row>
    <row r="551" spans="1:28" ht="25.5" x14ac:dyDescent="0.25">
      <c r="A551" s="7">
        <v>550</v>
      </c>
      <c r="B551" s="7" t="s">
        <v>15</v>
      </c>
      <c r="C551" s="7" t="s">
        <v>113</v>
      </c>
      <c r="D551" s="7" t="s">
        <v>647</v>
      </c>
      <c r="E551" s="7"/>
      <c r="F551" s="8"/>
      <c r="G551" s="7" t="s">
        <v>647</v>
      </c>
      <c r="H551" s="9">
        <v>33.870353999999999</v>
      </c>
      <c r="I551" s="9">
        <v>7.87643</v>
      </c>
      <c r="J551" s="7" t="s">
        <v>115</v>
      </c>
      <c r="K551" s="7" t="s">
        <v>37</v>
      </c>
      <c r="L551" s="7"/>
      <c r="M551" s="10">
        <v>4.5</v>
      </c>
      <c r="N551" s="7" t="s">
        <v>78</v>
      </c>
      <c r="O551" s="7"/>
      <c r="P551" s="8" t="s">
        <v>39</v>
      </c>
      <c r="Q551">
        <v>5.96</v>
      </c>
      <c r="R551">
        <v>12.7</v>
      </c>
      <c r="S551" t="s">
        <v>91</v>
      </c>
      <c r="T551">
        <v>14</v>
      </c>
      <c r="U551">
        <f t="shared" si="40"/>
        <v>83.44</v>
      </c>
      <c r="V551">
        <v>1.35</v>
      </c>
      <c r="W551">
        <v>80</v>
      </c>
      <c r="X551">
        <v>0.35</v>
      </c>
      <c r="Y551">
        <f t="shared" si="41"/>
        <v>28</v>
      </c>
      <c r="Z551">
        <f t="shared" si="42"/>
        <v>112.64400000000001</v>
      </c>
      <c r="AA551">
        <f t="shared" si="43"/>
        <v>84.644000000000005</v>
      </c>
      <c r="AB551">
        <f t="shared" si="44"/>
        <v>380.89800000000002</v>
      </c>
    </row>
    <row r="552" spans="1:28" ht="25.5" x14ac:dyDescent="0.25">
      <c r="A552" s="7">
        <v>551</v>
      </c>
      <c r="B552" s="7" t="s">
        <v>15</v>
      </c>
      <c r="C552" s="7" t="s">
        <v>116</v>
      </c>
      <c r="D552" s="7" t="s">
        <v>648</v>
      </c>
      <c r="E552" s="7"/>
      <c r="F552" s="8"/>
      <c r="G552" s="7" t="s">
        <v>648</v>
      </c>
      <c r="H552" s="9">
        <v>36.840961</v>
      </c>
      <c r="I552" s="9">
        <v>10.322136</v>
      </c>
      <c r="J552" s="7" t="s">
        <v>118</v>
      </c>
      <c r="K552" s="7" t="s">
        <v>37</v>
      </c>
      <c r="L552" s="7"/>
      <c r="M552" s="10">
        <v>13.36</v>
      </c>
      <c r="N552" s="7" t="s">
        <v>38</v>
      </c>
      <c r="O552" s="7"/>
      <c r="P552" s="8" t="s">
        <v>39</v>
      </c>
      <c r="Q552">
        <v>6.47</v>
      </c>
      <c r="R552">
        <v>34.700000000000003</v>
      </c>
      <c r="S552" t="s">
        <v>58</v>
      </c>
      <c r="T552">
        <v>18</v>
      </c>
      <c r="U552">
        <f t="shared" si="40"/>
        <v>116.46</v>
      </c>
      <c r="V552">
        <v>0.9</v>
      </c>
      <c r="W552">
        <v>0</v>
      </c>
      <c r="X552">
        <v>0</v>
      </c>
      <c r="Y552">
        <f t="shared" si="41"/>
        <v>0</v>
      </c>
      <c r="Z552">
        <f t="shared" si="42"/>
        <v>104.81399999999999</v>
      </c>
      <c r="AA552">
        <f t="shared" si="43"/>
        <v>104.81399999999999</v>
      </c>
      <c r="AB552">
        <f t="shared" si="44"/>
        <v>1400.31504</v>
      </c>
    </row>
    <row r="553" spans="1:28" ht="25.5" x14ac:dyDescent="0.25">
      <c r="A553" s="7">
        <v>552</v>
      </c>
      <c r="B553" s="7" t="s">
        <v>15</v>
      </c>
      <c r="C553" s="7" t="s">
        <v>119</v>
      </c>
      <c r="D553" s="7" t="s">
        <v>649</v>
      </c>
      <c r="E553" s="7"/>
      <c r="F553" s="8"/>
      <c r="G553" s="7" t="s">
        <v>649</v>
      </c>
      <c r="H553" s="9">
        <v>36.393627000000002</v>
      </c>
      <c r="I553" s="9">
        <v>9.6389189999999996</v>
      </c>
      <c r="J553" s="7" t="s">
        <v>121</v>
      </c>
      <c r="K553" s="7" t="s">
        <v>37</v>
      </c>
      <c r="L553" s="7"/>
      <c r="M553" s="10">
        <v>23.87</v>
      </c>
      <c r="N553" s="7" t="s">
        <v>44</v>
      </c>
      <c r="O553" s="7"/>
      <c r="P553" s="8" t="s">
        <v>39</v>
      </c>
      <c r="Q553">
        <v>7.59</v>
      </c>
      <c r="R553">
        <v>20.399999999999999</v>
      </c>
      <c r="S553" t="s">
        <v>53</v>
      </c>
      <c r="T553">
        <v>18</v>
      </c>
      <c r="U553">
        <f t="shared" si="40"/>
        <v>136.62</v>
      </c>
      <c r="V553">
        <v>1.1499999999999999</v>
      </c>
      <c r="W553">
        <v>0</v>
      </c>
      <c r="X553">
        <v>0</v>
      </c>
      <c r="Y553">
        <f t="shared" si="41"/>
        <v>0</v>
      </c>
      <c r="Z553">
        <f t="shared" si="42"/>
        <v>157.113</v>
      </c>
      <c r="AA553">
        <f t="shared" si="43"/>
        <v>157.113</v>
      </c>
      <c r="AB553">
        <f t="shared" si="44"/>
        <v>3750.2873100000002</v>
      </c>
    </row>
    <row r="554" spans="1:28" ht="25.5" x14ac:dyDescent="0.25">
      <c r="A554" s="7">
        <v>553</v>
      </c>
      <c r="B554" s="7" t="s">
        <v>15</v>
      </c>
      <c r="C554" s="7" t="s">
        <v>34</v>
      </c>
      <c r="D554" s="7" t="s">
        <v>650</v>
      </c>
      <c r="E554" s="7"/>
      <c r="F554" s="8"/>
      <c r="G554" s="7" t="s">
        <v>650</v>
      </c>
      <c r="H554" s="9">
        <v>36.892212999999998</v>
      </c>
      <c r="I554" s="9">
        <v>10.224883999999999</v>
      </c>
      <c r="J554" s="7" t="s">
        <v>36</v>
      </c>
      <c r="K554" s="7" t="s">
        <v>37</v>
      </c>
      <c r="L554" s="7"/>
      <c r="M554" s="10">
        <v>14.06</v>
      </c>
      <c r="N554" s="7" t="s">
        <v>48</v>
      </c>
      <c r="O554" s="7"/>
      <c r="P554" s="8" t="s">
        <v>39</v>
      </c>
      <c r="Q554">
        <v>4.0199999999999996</v>
      </c>
      <c r="R554">
        <v>33.6</v>
      </c>
      <c r="S554" t="s">
        <v>58</v>
      </c>
      <c r="T554">
        <v>16</v>
      </c>
      <c r="U554">
        <f t="shared" si="40"/>
        <v>64.319999999999993</v>
      </c>
      <c r="V554">
        <v>0.81</v>
      </c>
      <c r="W554">
        <v>0</v>
      </c>
      <c r="X554">
        <v>0</v>
      </c>
      <c r="Y554">
        <f t="shared" si="41"/>
        <v>0</v>
      </c>
      <c r="Z554">
        <f t="shared" si="42"/>
        <v>52.099199999999996</v>
      </c>
      <c r="AA554">
        <f t="shared" si="43"/>
        <v>52.099199999999996</v>
      </c>
      <c r="AB554">
        <f t="shared" si="44"/>
        <v>732.51475199999993</v>
      </c>
    </row>
    <row r="555" spans="1:28" ht="25.5" x14ac:dyDescent="0.25">
      <c r="A555" s="7">
        <v>554</v>
      </c>
      <c r="B555" s="7" t="s">
        <v>15</v>
      </c>
      <c r="C555" s="7" t="s">
        <v>41</v>
      </c>
      <c r="D555" s="7" t="s">
        <v>651</v>
      </c>
      <c r="E555" s="7"/>
      <c r="F555" s="8"/>
      <c r="G555" s="7" t="s">
        <v>651</v>
      </c>
      <c r="H555" s="9">
        <v>36.672227999999997</v>
      </c>
      <c r="I555" s="9">
        <v>9.6267589999999998</v>
      </c>
      <c r="J555" s="7" t="s">
        <v>43</v>
      </c>
      <c r="K555" s="7" t="s">
        <v>37</v>
      </c>
      <c r="L555" s="7"/>
      <c r="M555" s="10">
        <v>11.11</v>
      </c>
      <c r="N555" s="7" t="s">
        <v>52</v>
      </c>
      <c r="O555" s="7"/>
      <c r="P555" s="8" t="s">
        <v>39</v>
      </c>
      <c r="Q555">
        <v>6.07</v>
      </c>
      <c r="R555">
        <v>30.6</v>
      </c>
      <c r="S555" t="s">
        <v>58</v>
      </c>
      <c r="T555">
        <v>12</v>
      </c>
      <c r="U555">
        <f t="shared" si="40"/>
        <v>72.84</v>
      </c>
      <c r="V555">
        <v>0.99</v>
      </c>
      <c r="W555">
        <v>0</v>
      </c>
      <c r="X555">
        <v>0</v>
      </c>
      <c r="Y555">
        <f t="shared" si="41"/>
        <v>0</v>
      </c>
      <c r="Z555">
        <f t="shared" si="42"/>
        <v>72.111599999999996</v>
      </c>
      <c r="AA555">
        <f t="shared" si="43"/>
        <v>72.111599999999996</v>
      </c>
      <c r="AB555">
        <f t="shared" si="44"/>
        <v>801.15987599999994</v>
      </c>
    </row>
    <row r="556" spans="1:28" ht="25.5" x14ac:dyDescent="0.25">
      <c r="A556" s="7">
        <v>555</v>
      </c>
      <c r="B556" s="7" t="s">
        <v>15</v>
      </c>
      <c r="C556" s="7" t="s">
        <v>45</v>
      </c>
      <c r="D556" s="7" t="s">
        <v>652</v>
      </c>
      <c r="E556" s="7"/>
      <c r="F556" s="8"/>
      <c r="G556" s="7" t="s">
        <v>652</v>
      </c>
      <c r="H556" s="9">
        <v>36.614144000000003</v>
      </c>
      <c r="I556" s="9">
        <v>10.338632</v>
      </c>
      <c r="J556" s="7" t="s">
        <v>47</v>
      </c>
      <c r="K556" s="7" t="s">
        <v>37</v>
      </c>
      <c r="L556" s="7"/>
      <c r="M556" s="10">
        <v>12.75</v>
      </c>
      <c r="N556" s="7" t="s">
        <v>57</v>
      </c>
      <c r="O556" s="7"/>
      <c r="P556" s="8" t="s">
        <v>39</v>
      </c>
      <c r="Q556">
        <v>7.79</v>
      </c>
      <c r="R556">
        <v>31.5</v>
      </c>
      <c r="S556" t="s">
        <v>58</v>
      </c>
      <c r="T556">
        <v>8</v>
      </c>
      <c r="U556">
        <f t="shared" si="40"/>
        <v>62.32</v>
      </c>
      <c r="V556">
        <v>1.08</v>
      </c>
      <c r="W556">
        <v>50</v>
      </c>
      <c r="X556">
        <v>0.35</v>
      </c>
      <c r="Y556">
        <f t="shared" si="41"/>
        <v>17.5</v>
      </c>
      <c r="Z556">
        <f t="shared" si="42"/>
        <v>67.305599999999998</v>
      </c>
      <c r="AA556">
        <f t="shared" si="43"/>
        <v>49.805599999999998</v>
      </c>
      <c r="AB556">
        <f t="shared" si="44"/>
        <v>635.02139999999997</v>
      </c>
    </row>
    <row r="557" spans="1:28" ht="25.5" x14ac:dyDescent="0.25">
      <c r="A557" s="7">
        <v>556</v>
      </c>
      <c r="B557" s="7" t="s">
        <v>15</v>
      </c>
      <c r="C557" s="7" t="s">
        <v>49</v>
      </c>
      <c r="D557" s="7" t="s">
        <v>653</v>
      </c>
      <c r="E557" s="7"/>
      <c r="F557" s="8"/>
      <c r="G557" s="7" t="s">
        <v>653</v>
      </c>
      <c r="H557" s="9">
        <v>37.136664000000003</v>
      </c>
      <c r="I557" s="9">
        <v>9.7734950000000005</v>
      </c>
      <c r="J557" s="7" t="s">
        <v>51</v>
      </c>
      <c r="K557" s="7" t="s">
        <v>37</v>
      </c>
      <c r="L557" s="7"/>
      <c r="M557" s="10">
        <v>13.89</v>
      </c>
      <c r="N557" s="7" t="s">
        <v>62</v>
      </c>
      <c r="O557" s="7"/>
      <c r="P557" s="8" t="s">
        <v>39</v>
      </c>
      <c r="Q557">
        <v>3.5</v>
      </c>
      <c r="R557">
        <v>29.1</v>
      </c>
      <c r="S557" t="s">
        <v>58</v>
      </c>
      <c r="T557">
        <v>7</v>
      </c>
      <c r="U557">
        <f t="shared" si="40"/>
        <v>24.5</v>
      </c>
      <c r="V557">
        <v>0.99</v>
      </c>
      <c r="W557">
        <v>160</v>
      </c>
      <c r="X557">
        <v>0.35</v>
      </c>
      <c r="Y557">
        <f t="shared" si="41"/>
        <v>56</v>
      </c>
      <c r="Z557">
        <f t="shared" si="42"/>
        <v>24.254999999999999</v>
      </c>
      <c r="AA557">
        <f t="shared" si="43"/>
        <v>0</v>
      </c>
      <c r="AB557">
        <f t="shared" si="44"/>
        <v>0</v>
      </c>
    </row>
    <row r="558" spans="1:28" ht="25.5" x14ac:dyDescent="0.25">
      <c r="A558" s="7">
        <v>557</v>
      </c>
      <c r="B558" s="7" t="s">
        <v>15</v>
      </c>
      <c r="C558" s="7" t="s">
        <v>54</v>
      </c>
      <c r="D558" s="7" t="s">
        <v>654</v>
      </c>
      <c r="E558" s="7"/>
      <c r="F558" s="8"/>
      <c r="G558" s="7" t="s">
        <v>654</v>
      </c>
      <c r="H558" s="9">
        <v>33.610985999999997</v>
      </c>
      <c r="I558" s="9">
        <v>10.284060999999999</v>
      </c>
      <c r="J558" s="7" t="s">
        <v>56</v>
      </c>
      <c r="K558" s="7" t="s">
        <v>37</v>
      </c>
      <c r="L558" s="7"/>
      <c r="M558" s="10">
        <v>0.76</v>
      </c>
      <c r="N558" s="7" t="s">
        <v>66</v>
      </c>
      <c r="O558" s="7"/>
      <c r="P558" s="8" t="s">
        <v>39</v>
      </c>
      <c r="Q558">
        <v>5.53</v>
      </c>
      <c r="R558">
        <v>34.700000000000003</v>
      </c>
      <c r="S558" t="s">
        <v>58</v>
      </c>
      <c r="T558">
        <v>10</v>
      </c>
      <c r="U558">
        <f t="shared" si="40"/>
        <v>55.300000000000004</v>
      </c>
      <c r="V558">
        <v>0.72</v>
      </c>
      <c r="W558">
        <v>80</v>
      </c>
      <c r="X558">
        <v>0.35</v>
      </c>
      <c r="Y558">
        <f t="shared" si="41"/>
        <v>28</v>
      </c>
      <c r="Z558">
        <f t="shared" si="42"/>
        <v>39.816000000000003</v>
      </c>
      <c r="AA558">
        <f t="shared" si="43"/>
        <v>11.816000000000003</v>
      </c>
      <c r="AB558">
        <f t="shared" si="44"/>
        <v>8.9801600000000015</v>
      </c>
    </row>
    <row r="559" spans="1:28" ht="25.5" x14ac:dyDescent="0.25">
      <c r="A559" s="7">
        <v>558</v>
      </c>
      <c r="B559" s="7" t="s">
        <v>15</v>
      </c>
      <c r="C559" s="7" t="s">
        <v>59</v>
      </c>
      <c r="D559" s="7" t="s">
        <v>655</v>
      </c>
      <c r="E559" s="7"/>
      <c r="F559" s="8"/>
      <c r="G559" s="7" t="s">
        <v>655</v>
      </c>
      <c r="H559" s="9">
        <v>34.337508</v>
      </c>
      <c r="I559" s="9">
        <v>8.3896080000000008</v>
      </c>
      <c r="J559" s="7" t="s">
        <v>61</v>
      </c>
      <c r="K559" s="7" t="s">
        <v>37</v>
      </c>
      <c r="L559" s="7"/>
      <c r="M559" s="10">
        <v>1.76</v>
      </c>
      <c r="N559" s="7" t="s">
        <v>70</v>
      </c>
      <c r="O559" s="7"/>
      <c r="P559" s="8" t="s">
        <v>39</v>
      </c>
      <c r="Q559">
        <v>5.93</v>
      </c>
      <c r="R559">
        <v>36.5</v>
      </c>
      <c r="S559" t="s">
        <v>40</v>
      </c>
      <c r="T559">
        <v>9</v>
      </c>
      <c r="U559">
        <f t="shared" si="40"/>
        <v>53.37</v>
      </c>
      <c r="V559">
        <v>0.54</v>
      </c>
      <c r="W559">
        <v>80</v>
      </c>
      <c r="X559">
        <v>0.35</v>
      </c>
      <c r="Y559">
        <f t="shared" si="41"/>
        <v>28</v>
      </c>
      <c r="Z559">
        <f t="shared" si="42"/>
        <v>28.819800000000001</v>
      </c>
      <c r="AA559">
        <f t="shared" si="43"/>
        <v>0.81980000000000075</v>
      </c>
      <c r="AB559">
        <f t="shared" si="44"/>
        <v>1.4428480000000012</v>
      </c>
    </row>
    <row r="560" spans="1:28" ht="25.5" x14ac:dyDescent="0.25">
      <c r="A560" s="7">
        <v>559</v>
      </c>
      <c r="B560" s="7" t="s">
        <v>15</v>
      </c>
      <c r="C560" s="7" t="s">
        <v>63</v>
      </c>
      <c r="D560" s="7" t="s">
        <v>656</v>
      </c>
      <c r="E560" s="7"/>
      <c r="F560" s="8"/>
      <c r="G560" s="7" t="s">
        <v>656</v>
      </c>
      <c r="H560" s="9">
        <v>36.925370999999998</v>
      </c>
      <c r="I560" s="9">
        <v>8.7520299999999995</v>
      </c>
      <c r="J560" s="7" t="s">
        <v>65</v>
      </c>
      <c r="K560" s="7" t="s">
        <v>37</v>
      </c>
      <c r="L560" s="7"/>
      <c r="M560" s="10">
        <v>14.69</v>
      </c>
      <c r="N560" s="7" t="s">
        <v>74</v>
      </c>
      <c r="O560" s="7"/>
      <c r="P560" s="8" t="s">
        <v>39</v>
      </c>
      <c r="Q560">
        <v>3.66</v>
      </c>
      <c r="R560">
        <v>28.3</v>
      </c>
      <c r="S560" t="s">
        <v>58</v>
      </c>
      <c r="T560">
        <v>10</v>
      </c>
      <c r="U560">
        <f t="shared" si="40"/>
        <v>36.6</v>
      </c>
      <c r="V560">
        <v>0.81</v>
      </c>
      <c r="W560">
        <v>0</v>
      </c>
      <c r="X560">
        <v>0</v>
      </c>
      <c r="Y560">
        <f t="shared" si="41"/>
        <v>0</v>
      </c>
      <c r="Z560">
        <f t="shared" si="42"/>
        <v>29.646000000000004</v>
      </c>
      <c r="AA560">
        <f t="shared" si="43"/>
        <v>29.646000000000004</v>
      </c>
      <c r="AB560">
        <f t="shared" si="44"/>
        <v>435.49974000000003</v>
      </c>
    </row>
    <row r="561" spans="1:28" ht="25.5" x14ac:dyDescent="0.25">
      <c r="A561" s="7">
        <v>560</v>
      </c>
      <c r="B561" s="7" t="s">
        <v>15</v>
      </c>
      <c r="C561" s="7" t="s">
        <v>67</v>
      </c>
      <c r="D561" s="7" t="s">
        <v>657</v>
      </c>
      <c r="E561" s="7"/>
      <c r="F561" s="8"/>
      <c r="G561" s="7" t="s">
        <v>657</v>
      </c>
      <c r="H561" s="9">
        <v>35.637479999999996</v>
      </c>
      <c r="I561" s="9">
        <v>9.9240259999999996</v>
      </c>
      <c r="J561" s="7" t="s">
        <v>69</v>
      </c>
      <c r="K561" s="7" t="s">
        <v>37</v>
      </c>
      <c r="L561" s="7"/>
      <c r="M561" s="10">
        <v>14.09</v>
      </c>
      <c r="N561" s="7" t="s">
        <v>78</v>
      </c>
      <c r="O561" s="7"/>
      <c r="P561" s="8" t="s">
        <v>39</v>
      </c>
      <c r="Q561">
        <v>2.35</v>
      </c>
      <c r="R561">
        <v>16</v>
      </c>
      <c r="S561" t="s">
        <v>53</v>
      </c>
      <c r="T561">
        <v>14</v>
      </c>
      <c r="U561">
        <f t="shared" si="40"/>
        <v>32.9</v>
      </c>
      <c r="V561">
        <v>1.1499999999999999</v>
      </c>
      <c r="W561">
        <v>0</v>
      </c>
      <c r="X561">
        <v>0</v>
      </c>
      <c r="Y561">
        <f t="shared" si="41"/>
        <v>0</v>
      </c>
      <c r="Z561">
        <f t="shared" si="42"/>
        <v>37.834999999999994</v>
      </c>
      <c r="AA561">
        <f t="shared" si="43"/>
        <v>37.834999999999994</v>
      </c>
      <c r="AB561">
        <f t="shared" si="44"/>
        <v>533.09514999999988</v>
      </c>
    </row>
    <row r="562" spans="1:28" ht="25.5" x14ac:dyDescent="0.25">
      <c r="A562" s="7">
        <v>561</v>
      </c>
      <c r="B562" s="7" t="s">
        <v>15</v>
      </c>
      <c r="C562" s="7" t="s">
        <v>71</v>
      </c>
      <c r="D562" s="7" t="s">
        <v>658</v>
      </c>
      <c r="E562" s="7"/>
      <c r="F562" s="8"/>
      <c r="G562" s="7" t="s">
        <v>658</v>
      </c>
      <c r="H562" s="9">
        <v>35.210290999999998</v>
      </c>
      <c r="I562" s="9">
        <v>9.1133030000000002</v>
      </c>
      <c r="J562" s="7" t="s">
        <v>73</v>
      </c>
      <c r="K562" s="7" t="s">
        <v>37</v>
      </c>
      <c r="L562" s="7"/>
      <c r="M562" s="10">
        <v>13.34</v>
      </c>
      <c r="N562" s="7" t="s">
        <v>38</v>
      </c>
      <c r="O562" s="7"/>
      <c r="P562" s="8" t="s">
        <v>39</v>
      </c>
      <c r="Q562">
        <v>3.59</v>
      </c>
      <c r="R562">
        <v>27.8</v>
      </c>
      <c r="S562" t="s">
        <v>58</v>
      </c>
      <c r="T562">
        <v>18</v>
      </c>
      <c r="U562">
        <f t="shared" si="40"/>
        <v>64.62</v>
      </c>
      <c r="V562">
        <v>0.9</v>
      </c>
      <c r="W562">
        <v>80</v>
      </c>
      <c r="X562">
        <v>0.35</v>
      </c>
      <c r="Y562">
        <f t="shared" si="41"/>
        <v>28</v>
      </c>
      <c r="Z562">
        <f t="shared" si="42"/>
        <v>58.158000000000008</v>
      </c>
      <c r="AA562">
        <f t="shared" si="43"/>
        <v>30.158000000000008</v>
      </c>
      <c r="AB562">
        <f t="shared" si="44"/>
        <v>402.30772000000013</v>
      </c>
    </row>
    <row r="563" spans="1:28" ht="25.5" x14ac:dyDescent="0.25">
      <c r="A563" s="7">
        <v>562</v>
      </c>
      <c r="B563" s="7" t="s">
        <v>15</v>
      </c>
      <c r="C563" s="7" t="s">
        <v>75</v>
      </c>
      <c r="D563" s="7" t="s">
        <v>659</v>
      </c>
      <c r="E563" s="7"/>
      <c r="F563" s="8"/>
      <c r="G563" s="7" t="s">
        <v>659</v>
      </c>
      <c r="H563" s="9">
        <v>33.444235999999997</v>
      </c>
      <c r="I563" s="9">
        <v>8.993309</v>
      </c>
      <c r="J563" s="7" t="s">
        <v>77</v>
      </c>
      <c r="K563" s="7" t="s">
        <v>37</v>
      </c>
      <c r="L563" s="7"/>
      <c r="M563" s="10">
        <v>6.89</v>
      </c>
      <c r="N563" s="7" t="s">
        <v>44</v>
      </c>
      <c r="O563" s="7"/>
      <c r="P563" s="8" t="s">
        <v>39</v>
      </c>
      <c r="Q563">
        <v>2.4900000000000002</v>
      </c>
      <c r="R563">
        <v>10</v>
      </c>
      <c r="S563" t="s">
        <v>91</v>
      </c>
      <c r="T563">
        <v>18</v>
      </c>
      <c r="U563">
        <f t="shared" si="40"/>
        <v>44.820000000000007</v>
      </c>
      <c r="V563">
        <v>1.35</v>
      </c>
      <c r="W563">
        <v>80</v>
      </c>
      <c r="X563">
        <v>0.35</v>
      </c>
      <c r="Y563">
        <f t="shared" si="41"/>
        <v>28</v>
      </c>
      <c r="Z563">
        <f t="shared" si="42"/>
        <v>60.507000000000012</v>
      </c>
      <c r="AA563">
        <f t="shared" si="43"/>
        <v>32.507000000000012</v>
      </c>
      <c r="AB563">
        <f t="shared" si="44"/>
        <v>223.97323000000009</v>
      </c>
    </row>
    <row r="564" spans="1:28" ht="25.5" x14ac:dyDescent="0.25">
      <c r="A564" s="7">
        <v>563</v>
      </c>
      <c r="B564" s="7" t="s">
        <v>15</v>
      </c>
      <c r="C564" s="7" t="s">
        <v>79</v>
      </c>
      <c r="D564" s="7" t="s">
        <v>660</v>
      </c>
      <c r="E564" s="7"/>
      <c r="F564" s="8"/>
      <c r="G564" s="7" t="s">
        <v>660</v>
      </c>
      <c r="H564" s="9">
        <v>35.955083999999999</v>
      </c>
      <c r="I564" s="9">
        <v>8.8555700000000002</v>
      </c>
      <c r="J564" s="7" t="s">
        <v>81</v>
      </c>
      <c r="K564" s="7" t="s">
        <v>37</v>
      </c>
      <c r="L564" s="7"/>
      <c r="M564" s="10">
        <v>19.73</v>
      </c>
      <c r="N564" s="7" t="s">
        <v>48</v>
      </c>
      <c r="O564" s="7"/>
      <c r="P564" s="8" t="s">
        <v>39</v>
      </c>
      <c r="Q564">
        <v>2</v>
      </c>
      <c r="R564">
        <v>25.5</v>
      </c>
      <c r="S564" t="s">
        <v>58</v>
      </c>
      <c r="T564">
        <v>16</v>
      </c>
      <c r="U564">
        <f t="shared" si="40"/>
        <v>32</v>
      </c>
      <c r="V564">
        <v>0.81</v>
      </c>
      <c r="W564">
        <v>80</v>
      </c>
      <c r="X564">
        <v>0.35</v>
      </c>
      <c r="Y564">
        <f t="shared" si="41"/>
        <v>28</v>
      </c>
      <c r="Z564">
        <f t="shared" si="42"/>
        <v>25.92</v>
      </c>
      <c r="AA564">
        <f t="shared" si="43"/>
        <v>0</v>
      </c>
      <c r="AB564">
        <f t="shared" si="44"/>
        <v>0</v>
      </c>
    </row>
    <row r="565" spans="1:28" ht="25.5" x14ac:dyDescent="0.25">
      <c r="A565" s="7">
        <v>564</v>
      </c>
      <c r="B565" s="7" t="s">
        <v>15</v>
      </c>
      <c r="C565" s="7" t="s">
        <v>82</v>
      </c>
      <c r="D565" s="7" t="s">
        <v>661</v>
      </c>
      <c r="E565" s="7"/>
      <c r="F565" s="8"/>
      <c r="G565" s="7" t="s">
        <v>661</v>
      </c>
      <c r="H565" s="9">
        <v>35.210974</v>
      </c>
      <c r="I565" s="9">
        <v>11.094822000000001</v>
      </c>
      <c r="J565" s="7" t="s">
        <v>84</v>
      </c>
      <c r="K565" s="7" t="s">
        <v>37</v>
      </c>
      <c r="L565" s="7"/>
      <c r="M565" s="10">
        <v>21.54</v>
      </c>
      <c r="N565" s="7" t="s">
        <v>52</v>
      </c>
      <c r="O565" s="7"/>
      <c r="P565" s="8" t="s">
        <v>39</v>
      </c>
      <c r="Q565">
        <v>3.61</v>
      </c>
      <c r="R565">
        <v>37.9</v>
      </c>
      <c r="S565" t="s">
        <v>40</v>
      </c>
      <c r="T565">
        <v>12</v>
      </c>
      <c r="U565">
        <f t="shared" si="40"/>
        <v>43.32</v>
      </c>
      <c r="V565">
        <v>0.66</v>
      </c>
      <c r="W565">
        <v>0</v>
      </c>
      <c r="X565">
        <v>0</v>
      </c>
      <c r="Y565">
        <f t="shared" si="41"/>
        <v>0</v>
      </c>
      <c r="Z565">
        <f t="shared" si="42"/>
        <v>28.591200000000001</v>
      </c>
      <c r="AA565">
        <f t="shared" si="43"/>
        <v>28.591200000000001</v>
      </c>
      <c r="AB565">
        <f t="shared" si="44"/>
        <v>615.85444799999993</v>
      </c>
    </row>
    <row r="566" spans="1:28" ht="25.5" x14ac:dyDescent="0.25">
      <c r="A566" s="7">
        <v>565</v>
      </c>
      <c r="B566" s="7" t="s">
        <v>15</v>
      </c>
      <c r="C566" s="7" t="s">
        <v>85</v>
      </c>
      <c r="D566" s="7" t="s">
        <v>662</v>
      </c>
      <c r="E566" s="7"/>
      <c r="F566" s="8"/>
      <c r="G566" s="7" t="s">
        <v>662</v>
      </c>
      <c r="H566" s="9">
        <v>36.840581</v>
      </c>
      <c r="I566" s="9">
        <v>9.8697160000000004</v>
      </c>
      <c r="J566" s="7" t="s">
        <v>87</v>
      </c>
      <c r="K566" s="7" t="s">
        <v>37</v>
      </c>
      <c r="L566" s="7"/>
      <c r="M566" s="10">
        <v>14.94</v>
      </c>
      <c r="N566" s="7" t="s">
        <v>57</v>
      </c>
      <c r="O566" s="7"/>
      <c r="P566" s="8" t="s">
        <v>39</v>
      </c>
      <c r="Q566">
        <v>5.22</v>
      </c>
      <c r="R566">
        <v>44.9</v>
      </c>
      <c r="S566" t="s">
        <v>40</v>
      </c>
      <c r="T566">
        <v>8</v>
      </c>
      <c r="U566">
        <f t="shared" si="40"/>
        <v>41.76</v>
      </c>
      <c r="V566">
        <v>0.72</v>
      </c>
      <c r="W566">
        <v>0</v>
      </c>
      <c r="X566">
        <v>0</v>
      </c>
      <c r="Y566">
        <f t="shared" si="41"/>
        <v>0</v>
      </c>
      <c r="Z566">
        <f t="shared" si="42"/>
        <v>30.067199999999996</v>
      </c>
      <c r="AA566">
        <f t="shared" si="43"/>
        <v>30.067199999999996</v>
      </c>
      <c r="AB566">
        <f t="shared" si="44"/>
        <v>449.20396799999992</v>
      </c>
    </row>
    <row r="567" spans="1:28" ht="25.5" x14ac:dyDescent="0.25">
      <c r="A567" s="7">
        <v>566</v>
      </c>
      <c r="B567" s="7" t="s">
        <v>15</v>
      </c>
      <c r="C567" s="7" t="s">
        <v>88</v>
      </c>
      <c r="D567" s="7" t="s">
        <v>663</v>
      </c>
      <c r="E567" s="7"/>
      <c r="F567" s="8"/>
      <c r="G567" s="7" t="s">
        <v>663</v>
      </c>
      <c r="H567" s="9">
        <v>33.809824999999996</v>
      </c>
      <c r="I567" s="9">
        <v>10.982825999999999</v>
      </c>
      <c r="J567" s="7" t="s">
        <v>90</v>
      </c>
      <c r="K567" s="7" t="s">
        <v>37</v>
      </c>
      <c r="L567" s="7"/>
      <c r="M567" s="10">
        <v>16.88</v>
      </c>
      <c r="N567" s="7" t="s">
        <v>62</v>
      </c>
      <c r="O567" s="7"/>
      <c r="P567" s="8" t="s">
        <v>39</v>
      </c>
      <c r="Q567">
        <v>2.09</v>
      </c>
      <c r="R567">
        <v>34.5</v>
      </c>
      <c r="S567" t="s">
        <v>58</v>
      </c>
      <c r="T567">
        <v>7</v>
      </c>
      <c r="U567">
        <f t="shared" si="40"/>
        <v>14.629999999999999</v>
      </c>
      <c r="V567">
        <v>0.99</v>
      </c>
      <c r="W567">
        <v>80</v>
      </c>
      <c r="X567">
        <v>0.35</v>
      </c>
      <c r="Y567">
        <f t="shared" si="41"/>
        <v>28</v>
      </c>
      <c r="Z567">
        <f t="shared" si="42"/>
        <v>14.483699999999999</v>
      </c>
      <c r="AA567">
        <f t="shared" si="43"/>
        <v>0</v>
      </c>
      <c r="AB567">
        <f t="shared" si="44"/>
        <v>0</v>
      </c>
    </row>
    <row r="568" spans="1:28" ht="25.5" x14ac:dyDescent="0.25">
      <c r="A568" s="7">
        <v>567</v>
      </c>
      <c r="B568" s="7" t="s">
        <v>15</v>
      </c>
      <c r="C568" s="7" t="s">
        <v>92</v>
      </c>
      <c r="D568" s="7" t="s">
        <v>664</v>
      </c>
      <c r="E568" s="7"/>
      <c r="F568" s="8"/>
      <c r="G568" s="7" t="s">
        <v>664</v>
      </c>
      <c r="H568" s="9">
        <v>35.637867999999997</v>
      </c>
      <c r="I568" s="9">
        <v>10.739803</v>
      </c>
      <c r="J568" s="7" t="s">
        <v>94</v>
      </c>
      <c r="K568" s="7" t="s">
        <v>37</v>
      </c>
      <c r="L568" s="7"/>
      <c r="M568" s="10">
        <v>20.37</v>
      </c>
      <c r="N568" s="7" t="s">
        <v>66</v>
      </c>
      <c r="O568" s="7"/>
      <c r="P568" s="8" t="s">
        <v>39</v>
      </c>
      <c r="Q568">
        <v>1.99</v>
      </c>
      <c r="R568">
        <v>15.3</v>
      </c>
      <c r="S568" t="s">
        <v>53</v>
      </c>
      <c r="T568">
        <v>10</v>
      </c>
      <c r="U568">
        <f t="shared" si="40"/>
        <v>19.899999999999999</v>
      </c>
      <c r="V568">
        <v>0.92</v>
      </c>
      <c r="W568">
        <v>80</v>
      </c>
      <c r="X568">
        <v>0.35</v>
      </c>
      <c r="Y568">
        <f t="shared" si="41"/>
        <v>28</v>
      </c>
      <c r="Z568">
        <f t="shared" si="42"/>
        <v>18.308</v>
      </c>
      <c r="AA568">
        <f t="shared" si="43"/>
        <v>0</v>
      </c>
      <c r="AB568">
        <f t="shared" si="44"/>
        <v>0</v>
      </c>
    </row>
    <row r="569" spans="1:28" ht="25.5" x14ac:dyDescent="0.25">
      <c r="A569" s="7">
        <v>568</v>
      </c>
      <c r="B569" s="7" t="s">
        <v>15</v>
      </c>
      <c r="C569" s="7" t="s">
        <v>95</v>
      </c>
      <c r="D569" s="7" t="s">
        <v>665</v>
      </c>
      <c r="E569" s="7"/>
      <c r="F569" s="8"/>
      <c r="G569" s="7" t="s">
        <v>665</v>
      </c>
      <c r="H569" s="9">
        <v>36.551600999999998</v>
      </c>
      <c r="I569" s="9">
        <v>10.876692</v>
      </c>
      <c r="J569" s="7" t="s">
        <v>97</v>
      </c>
      <c r="K569" s="7" t="s">
        <v>37</v>
      </c>
      <c r="L569" s="7"/>
      <c r="M569" s="10">
        <v>14.94</v>
      </c>
      <c r="N569" s="7" t="s">
        <v>70</v>
      </c>
      <c r="O569" s="7"/>
      <c r="P569" s="8" t="s">
        <v>39</v>
      </c>
      <c r="Q569">
        <v>3.43</v>
      </c>
      <c r="R569">
        <v>34.6</v>
      </c>
      <c r="S569" t="s">
        <v>58</v>
      </c>
      <c r="T569">
        <v>9</v>
      </c>
      <c r="U569">
        <f t="shared" si="40"/>
        <v>30.87</v>
      </c>
      <c r="V569">
        <v>0.81</v>
      </c>
      <c r="W569">
        <v>0</v>
      </c>
      <c r="X569">
        <v>0</v>
      </c>
      <c r="Y569">
        <f t="shared" si="41"/>
        <v>0</v>
      </c>
      <c r="Z569">
        <f t="shared" si="42"/>
        <v>25.004700000000003</v>
      </c>
      <c r="AA569">
        <f t="shared" si="43"/>
        <v>25.004700000000003</v>
      </c>
      <c r="AB569">
        <f t="shared" si="44"/>
        <v>373.57021800000001</v>
      </c>
    </row>
    <row r="570" spans="1:28" ht="25.5" x14ac:dyDescent="0.25">
      <c r="A570" s="7">
        <v>569</v>
      </c>
      <c r="B570" s="7" t="s">
        <v>15</v>
      </c>
      <c r="C570" s="7" t="s">
        <v>98</v>
      </c>
      <c r="D570" s="7" t="s">
        <v>666</v>
      </c>
      <c r="E570" s="7"/>
      <c r="F570" s="8"/>
      <c r="G570" s="7" t="s">
        <v>666</v>
      </c>
      <c r="H570" s="9">
        <v>34.763517</v>
      </c>
      <c r="I570" s="9">
        <v>10.478077000000001</v>
      </c>
      <c r="J570" s="7" t="s">
        <v>100</v>
      </c>
      <c r="K570" s="7" t="s">
        <v>37</v>
      </c>
      <c r="L570" s="7"/>
      <c r="M570" s="10">
        <v>6.75</v>
      </c>
      <c r="N570" s="7" t="s">
        <v>74</v>
      </c>
      <c r="O570" s="7"/>
      <c r="P570" s="8" t="s">
        <v>39</v>
      </c>
      <c r="Q570">
        <v>2.88</v>
      </c>
      <c r="R570">
        <v>33.9</v>
      </c>
      <c r="S570" t="s">
        <v>58</v>
      </c>
      <c r="T570">
        <v>10</v>
      </c>
      <c r="U570">
        <f t="shared" si="40"/>
        <v>28.799999999999997</v>
      </c>
      <c r="V570">
        <v>0.81</v>
      </c>
      <c r="W570">
        <v>80</v>
      </c>
      <c r="X570">
        <v>0.35</v>
      </c>
      <c r="Y570">
        <f t="shared" si="41"/>
        <v>28</v>
      </c>
      <c r="Z570">
        <f t="shared" si="42"/>
        <v>23.327999999999999</v>
      </c>
      <c r="AA570">
        <f t="shared" si="43"/>
        <v>0</v>
      </c>
      <c r="AB570">
        <f t="shared" si="44"/>
        <v>0</v>
      </c>
    </row>
    <row r="571" spans="1:28" ht="25.5" x14ac:dyDescent="0.25">
      <c r="A571" s="7">
        <v>570</v>
      </c>
      <c r="B571" s="7" t="s">
        <v>15</v>
      </c>
      <c r="C571" s="7" t="s">
        <v>101</v>
      </c>
      <c r="D571" s="7" t="s">
        <v>667</v>
      </c>
      <c r="E571" s="7"/>
      <c r="F571" s="8"/>
      <c r="G571" s="7" t="s">
        <v>667</v>
      </c>
      <c r="H571" s="9">
        <v>34.902645999999997</v>
      </c>
      <c r="I571" s="9">
        <v>9.7887389999999996</v>
      </c>
      <c r="J571" s="7" t="s">
        <v>103</v>
      </c>
      <c r="K571" s="7" t="s">
        <v>37</v>
      </c>
      <c r="L571" s="7"/>
      <c r="M571" s="10">
        <v>16.62</v>
      </c>
      <c r="N571" s="7" t="s">
        <v>78</v>
      </c>
      <c r="O571" s="7"/>
      <c r="P571" s="8" t="s">
        <v>39</v>
      </c>
      <c r="Q571">
        <v>3.6</v>
      </c>
      <c r="R571">
        <v>41.2</v>
      </c>
      <c r="S571" t="s">
        <v>40</v>
      </c>
      <c r="T571">
        <v>14</v>
      </c>
      <c r="U571">
        <f t="shared" si="40"/>
        <v>50.4</v>
      </c>
      <c r="V571">
        <v>0.6</v>
      </c>
      <c r="W571">
        <v>80</v>
      </c>
      <c r="X571">
        <v>0.35</v>
      </c>
      <c r="Y571">
        <f t="shared" si="41"/>
        <v>28</v>
      </c>
      <c r="Z571">
        <f t="shared" si="42"/>
        <v>30.24</v>
      </c>
      <c r="AA571">
        <f t="shared" si="43"/>
        <v>2.2399999999999984</v>
      </c>
      <c r="AB571">
        <f t="shared" si="44"/>
        <v>37.228799999999978</v>
      </c>
    </row>
    <row r="572" spans="1:28" ht="25.5" x14ac:dyDescent="0.25">
      <c r="A572" s="7">
        <v>571</v>
      </c>
      <c r="B572" s="7" t="s">
        <v>15</v>
      </c>
      <c r="C572" s="7" t="s">
        <v>104</v>
      </c>
      <c r="D572" s="7" t="s">
        <v>668</v>
      </c>
      <c r="E572" s="7"/>
      <c r="F572" s="8"/>
      <c r="G572" s="7" t="s">
        <v>668</v>
      </c>
      <c r="H572" s="9">
        <v>35.831586000000001</v>
      </c>
      <c r="I572" s="9">
        <v>9.2044870000000003</v>
      </c>
      <c r="J572" s="7" t="s">
        <v>106</v>
      </c>
      <c r="K572" s="7" t="s">
        <v>37</v>
      </c>
      <c r="L572" s="7"/>
      <c r="M572" s="10">
        <v>13.3</v>
      </c>
      <c r="N572" s="7" t="s">
        <v>38</v>
      </c>
      <c r="O572" s="7"/>
      <c r="P572" s="8" t="s">
        <v>39</v>
      </c>
      <c r="Q572">
        <v>5.18</v>
      </c>
      <c r="R572">
        <v>32.799999999999997</v>
      </c>
      <c r="S572" t="s">
        <v>58</v>
      </c>
      <c r="T572">
        <v>18</v>
      </c>
      <c r="U572">
        <f t="shared" si="40"/>
        <v>93.24</v>
      </c>
      <c r="V572">
        <v>0.9</v>
      </c>
      <c r="W572">
        <v>160</v>
      </c>
      <c r="X572">
        <v>0.35</v>
      </c>
      <c r="Y572">
        <f t="shared" si="41"/>
        <v>56</v>
      </c>
      <c r="Z572">
        <f t="shared" si="42"/>
        <v>83.915999999999997</v>
      </c>
      <c r="AA572">
        <f t="shared" si="43"/>
        <v>27.915999999999997</v>
      </c>
      <c r="AB572">
        <f t="shared" si="44"/>
        <v>371.28279999999995</v>
      </c>
    </row>
    <row r="573" spans="1:28" ht="25.5" x14ac:dyDescent="0.25">
      <c r="A573" s="7">
        <v>572</v>
      </c>
      <c r="B573" s="7" t="s">
        <v>15</v>
      </c>
      <c r="C573" s="7" t="s">
        <v>107</v>
      </c>
      <c r="D573" s="7" t="s">
        <v>669</v>
      </c>
      <c r="E573" s="7"/>
      <c r="F573" s="8"/>
      <c r="G573" s="7" t="s">
        <v>669</v>
      </c>
      <c r="H573" s="9">
        <v>36.127496000000001</v>
      </c>
      <c r="I573" s="9">
        <v>10.369144</v>
      </c>
      <c r="J573" s="7" t="s">
        <v>109</v>
      </c>
      <c r="K573" s="7" t="s">
        <v>37</v>
      </c>
      <c r="L573" s="7"/>
      <c r="M573" s="10">
        <v>21.86</v>
      </c>
      <c r="N573" s="7" t="s">
        <v>44</v>
      </c>
      <c r="O573" s="7"/>
      <c r="P573" s="8" t="s">
        <v>39</v>
      </c>
      <c r="Q573">
        <v>1.91</v>
      </c>
      <c r="R573">
        <v>12.6</v>
      </c>
      <c r="S573" t="s">
        <v>91</v>
      </c>
      <c r="T573">
        <v>18</v>
      </c>
      <c r="U573">
        <f t="shared" si="40"/>
        <v>34.379999999999995</v>
      </c>
      <c r="V573">
        <v>1.35</v>
      </c>
      <c r="W573">
        <v>50</v>
      </c>
      <c r="X573">
        <v>0.35</v>
      </c>
      <c r="Y573">
        <f t="shared" si="41"/>
        <v>17.5</v>
      </c>
      <c r="Z573">
        <f t="shared" si="42"/>
        <v>46.412999999999997</v>
      </c>
      <c r="AA573">
        <f t="shared" si="43"/>
        <v>28.912999999999997</v>
      </c>
      <c r="AB573">
        <f t="shared" si="44"/>
        <v>632.0381799999999</v>
      </c>
    </row>
    <row r="574" spans="1:28" ht="25.5" x14ac:dyDescent="0.25">
      <c r="A574" s="7">
        <v>573</v>
      </c>
      <c r="B574" s="7" t="s">
        <v>15</v>
      </c>
      <c r="C574" s="7" t="s">
        <v>110</v>
      </c>
      <c r="D574" s="7" t="s">
        <v>670</v>
      </c>
      <c r="E574" s="7"/>
      <c r="F574" s="8"/>
      <c r="G574" s="7" t="s">
        <v>670</v>
      </c>
      <c r="H574" s="9">
        <v>33.167811999999998</v>
      </c>
      <c r="I574" s="9">
        <v>10.215315</v>
      </c>
      <c r="J574" s="7" t="s">
        <v>112</v>
      </c>
      <c r="K574" s="7" t="s">
        <v>37</v>
      </c>
      <c r="L574" s="7"/>
      <c r="M574" s="10">
        <v>20.48</v>
      </c>
      <c r="N574" s="7" t="s">
        <v>48</v>
      </c>
      <c r="O574" s="7"/>
      <c r="P574" s="8" t="s">
        <v>39</v>
      </c>
      <c r="Q574">
        <v>7.19</v>
      </c>
      <c r="R574">
        <v>22.1</v>
      </c>
      <c r="S574" t="s">
        <v>53</v>
      </c>
      <c r="T574">
        <v>16</v>
      </c>
      <c r="U574">
        <f t="shared" si="40"/>
        <v>115.04</v>
      </c>
      <c r="V574">
        <v>1.03</v>
      </c>
      <c r="W574">
        <v>80</v>
      </c>
      <c r="X574">
        <v>0.35</v>
      </c>
      <c r="Y574">
        <f t="shared" si="41"/>
        <v>28</v>
      </c>
      <c r="Z574">
        <f t="shared" si="42"/>
        <v>118.49120000000001</v>
      </c>
      <c r="AA574">
        <f t="shared" si="43"/>
        <v>90.491200000000006</v>
      </c>
      <c r="AB574">
        <f t="shared" si="44"/>
        <v>1853.2597760000001</v>
      </c>
    </row>
    <row r="575" spans="1:28" ht="25.5" x14ac:dyDescent="0.25">
      <c r="A575" s="7">
        <v>574</v>
      </c>
      <c r="B575" s="7" t="s">
        <v>15</v>
      </c>
      <c r="C575" s="7" t="s">
        <v>113</v>
      </c>
      <c r="D575" s="7" t="s">
        <v>671</v>
      </c>
      <c r="E575" s="7"/>
      <c r="F575" s="8"/>
      <c r="G575" s="7" t="s">
        <v>671</v>
      </c>
      <c r="H575" s="9">
        <v>33.862242999999999</v>
      </c>
      <c r="I575" s="9">
        <v>7.8744480000000001</v>
      </c>
      <c r="J575" s="7" t="s">
        <v>115</v>
      </c>
      <c r="K575" s="7" t="s">
        <v>37</v>
      </c>
      <c r="L575" s="7"/>
      <c r="M575" s="10">
        <v>3.72</v>
      </c>
      <c r="N575" s="7" t="s">
        <v>52</v>
      </c>
      <c r="O575" s="7"/>
      <c r="P575" s="8" t="s">
        <v>39</v>
      </c>
      <c r="Q575">
        <v>4.09</v>
      </c>
      <c r="R575">
        <v>19.7</v>
      </c>
      <c r="S575" t="s">
        <v>53</v>
      </c>
      <c r="T575">
        <v>12</v>
      </c>
      <c r="U575">
        <f t="shared" si="40"/>
        <v>49.08</v>
      </c>
      <c r="V575">
        <v>1.26</v>
      </c>
      <c r="W575">
        <v>0</v>
      </c>
      <c r="X575">
        <v>0</v>
      </c>
      <c r="Y575">
        <f t="shared" si="41"/>
        <v>0</v>
      </c>
      <c r="Z575">
        <f t="shared" si="42"/>
        <v>61.840800000000002</v>
      </c>
      <c r="AA575">
        <f t="shared" si="43"/>
        <v>61.840800000000002</v>
      </c>
      <c r="AB575">
        <f t="shared" si="44"/>
        <v>230.04777600000003</v>
      </c>
    </row>
    <row r="576" spans="1:28" ht="25.5" x14ac:dyDescent="0.25">
      <c r="A576" s="7">
        <v>575</v>
      </c>
      <c r="B576" s="7" t="s">
        <v>15</v>
      </c>
      <c r="C576" s="7" t="s">
        <v>116</v>
      </c>
      <c r="D576" s="7" t="s">
        <v>672</v>
      </c>
      <c r="E576" s="7"/>
      <c r="F576" s="8"/>
      <c r="G576" s="7" t="s">
        <v>672</v>
      </c>
      <c r="H576" s="9">
        <v>36.858879000000002</v>
      </c>
      <c r="I576" s="9">
        <v>10.330831</v>
      </c>
      <c r="J576" s="7" t="s">
        <v>118</v>
      </c>
      <c r="K576" s="7" t="s">
        <v>37</v>
      </c>
      <c r="L576" s="7"/>
      <c r="M576" s="10">
        <v>12.8</v>
      </c>
      <c r="N576" s="7" t="s">
        <v>57</v>
      </c>
      <c r="O576" s="7"/>
      <c r="P576" s="8" t="s">
        <v>39</v>
      </c>
      <c r="Q576">
        <v>3.21</v>
      </c>
      <c r="R576">
        <v>41.2</v>
      </c>
      <c r="S576" t="s">
        <v>40</v>
      </c>
      <c r="T576">
        <v>8</v>
      </c>
      <c r="U576">
        <f t="shared" si="40"/>
        <v>25.68</v>
      </c>
      <c r="V576">
        <v>0.72</v>
      </c>
      <c r="W576">
        <v>0</v>
      </c>
      <c r="X576">
        <v>0</v>
      </c>
      <c r="Y576">
        <f t="shared" si="41"/>
        <v>0</v>
      </c>
      <c r="Z576">
        <f t="shared" si="42"/>
        <v>18.489599999999999</v>
      </c>
      <c r="AA576">
        <f t="shared" si="43"/>
        <v>18.489599999999999</v>
      </c>
      <c r="AB576">
        <f t="shared" si="44"/>
        <v>236.66687999999999</v>
      </c>
    </row>
    <row r="577" spans="1:28" ht="25.5" x14ac:dyDescent="0.25">
      <c r="A577" s="7">
        <v>576</v>
      </c>
      <c r="B577" s="7" t="s">
        <v>15</v>
      </c>
      <c r="C577" s="7" t="s">
        <v>119</v>
      </c>
      <c r="D577" s="7" t="s">
        <v>673</v>
      </c>
      <c r="E577" s="7"/>
      <c r="F577" s="8"/>
      <c r="G577" s="7" t="s">
        <v>673</v>
      </c>
      <c r="H577" s="9">
        <v>36.380077</v>
      </c>
      <c r="I577" s="9">
        <v>9.602328</v>
      </c>
      <c r="J577" s="7" t="s">
        <v>121</v>
      </c>
      <c r="K577" s="7" t="s">
        <v>37</v>
      </c>
      <c r="L577" s="7"/>
      <c r="M577" s="10">
        <v>15.7</v>
      </c>
      <c r="N577" s="7" t="s">
        <v>62</v>
      </c>
      <c r="O577" s="7"/>
      <c r="P577" s="8" t="s">
        <v>39</v>
      </c>
      <c r="Q577">
        <v>7.59</v>
      </c>
      <c r="R577">
        <v>20.2</v>
      </c>
      <c r="S577" t="s">
        <v>53</v>
      </c>
      <c r="T577">
        <v>7</v>
      </c>
      <c r="U577">
        <f t="shared" si="40"/>
        <v>53.129999999999995</v>
      </c>
      <c r="V577">
        <v>1.26</v>
      </c>
      <c r="W577">
        <v>80</v>
      </c>
      <c r="X577">
        <v>0.35</v>
      </c>
      <c r="Y577">
        <f t="shared" si="41"/>
        <v>28</v>
      </c>
      <c r="Z577">
        <f t="shared" si="42"/>
        <v>66.943799999999996</v>
      </c>
      <c r="AA577">
        <f t="shared" si="43"/>
        <v>38.943799999999996</v>
      </c>
      <c r="AB577">
        <f t="shared" si="44"/>
        <v>611.41765999999996</v>
      </c>
    </row>
    <row r="578" spans="1:28" ht="25.5" x14ac:dyDescent="0.25">
      <c r="A578" s="7">
        <v>577</v>
      </c>
      <c r="B578" s="7" t="s">
        <v>15</v>
      </c>
      <c r="C578" s="7" t="s">
        <v>34</v>
      </c>
      <c r="D578" s="7" t="s">
        <v>674</v>
      </c>
      <c r="E578" s="7"/>
      <c r="F578" s="8"/>
      <c r="G578" s="7" t="s">
        <v>674</v>
      </c>
      <c r="H578" s="9">
        <v>36.879975000000002</v>
      </c>
      <c r="I578" s="9">
        <v>10.20571</v>
      </c>
      <c r="J578" s="7" t="s">
        <v>36</v>
      </c>
      <c r="K578" s="7" t="s">
        <v>37</v>
      </c>
      <c r="L578" s="7"/>
      <c r="M578" s="10">
        <v>2.85</v>
      </c>
      <c r="N578" s="7" t="s">
        <v>66</v>
      </c>
      <c r="O578" s="7"/>
      <c r="P578" s="8" t="s">
        <v>39</v>
      </c>
      <c r="Q578">
        <v>2.2000000000000002</v>
      </c>
      <c r="R578">
        <v>10.199999999999999</v>
      </c>
      <c r="S578" t="s">
        <v>91</v>
      </c>
      <c r="T578">
        <v>10</v>
      </c>
      <c r="U578">
        <f t="shared" ref="U578:U641" si="45">Q578*T578</f>
        <v>22</v>
      </c>
      <c r="V578">
        <v>1.08</v>
      </c>
      <c r="W578">
        <v>0</v>
      </c>
      <c r="X578">
        <v>0</v>
      </c>
      <c r="Y578">
        <f t="shared" ref="Y578:Y641" si="46">W578*X578</f>
        <v>0</v>
      </c>
      <c r="Z578">
        <f t="shared" ref="Z578:Z641" si="47">U578*V578</f>
        <v>23.76</v>
      </c>
      <c r="AA578">
        <f t="shared" ref="AA578:AA641" si="48">MAX(0,Z578-Y578)</f>
        <v>23.76</v>
      </c>
      <c r="AB578">
        <f t="shared" si="44"/>
        <v>67.716000000000008</v>
      </c>
    </row>
    <row r="579" spans="1:28" ht="25.5" x14ac:dyDescent="0.25">
      <c r="A579" s="7">
        <v>578</v>
      </c>
      <c r="B579" s="7" t="s">
        <v>15</v>
      </c>
      <c r="C579" s="7" t="s">
        <v>41</v>
      </c>
      <c r="D579" s="7" t="s">
        <v>675</v>
      </c>
      <c r="E579" s="7"/>
      <c r="F579" s="8"/>
      <c r="G579" s="7" t="s">
        <v>675</v>
      </c>
      <c r="H579" s="9">
        <v>36.660204</v>
      </c>
      <c r="I579" s="9">
        <v>9.6166400000000003</v>
      </c>
      <c r="J579" s="7" t="s">
        <v>43</v>
      </c>
      <c r="K579" s="7" t="s">
        <v>37</v>
      </c>
      <c r="L579" s="7"/>
      <c r="M579" s="10">
        <v>23.74</v>
      </c>
      <c r="N579" s="7" t="s">
        <v>70</v>
      </c>
      <c r="O579" s="7"/>
      <c r="P579" s="8" t="s">
        <v>39</v>
      </c>
      <c r="Q579">
        <v>6.44</v>
      </c>
      <c r="R579">
        <v>15.2</v>
      </c>
      <c r="S579" t="s">
        <v>53</v>
      </c>
      <c r="T579">
        <v>9</v>
      </c>
      <c r="U579">
        <f t="shared" si="45"/>
        <v>57.96</v>
      </c>
      <c r="V579">
        <v>1.03</v>
      </c>
      <c r="W579">
        <v>50</v>
      </c>
      <c r="X579">
        <v>0.35</v>
      </c>
      <c r="Y579">
        <f t="shared" si="46"/>
        <v>17.5</v>
      </c>
      <c r="Z579">
        <f t="shared" si="47"/>
        <v>59.698800000000006</v>
      </c>
      <c r="AA579">
        <f t="shared" si="48"/>
        <v>42.198800000000006</v>
      </c>
      <c r="AB579">
        <f t="shared" ref="AB579:AB642" si="49">AA579*M579</f>
        <v>1001.799512</v>
      </c>
    </row>
    <row r="580" spans="1:28" ht="25.5" x14ac:dyDescent="0.25">
      <c r="A580" s="7">
        <v>579</v>
      </c>
      <c r="B580" s="7" t="s">
        <v>15</v>
      </c>
      <c r="C580" s="7" t="s">
        <v>45</v>
      </c>
      <c r="D580" s="7" t="s">
        <v>676</v>
      </c>
      <c r="E580" s="7"/>
      <c r="F580" s="8"/>
      <c r="G580" s="7" t="s">
        <v>676</v>
      </c>
      <c r="H580" s="9">
        <v>36.616934000000001</v>
      </c>
      <c r="I580" s="9">
        <v>10.322286</v>
      </c>
      <c r="J580" s="7" t="s">
        <v>47</v>
      </c>
      <c r="K580" s="7" t="s">
        <v>37</v>
      </c>
      <c r="L580" s="7"/>
      <c r="M580" s="10">
        <v>22.7</v>
      </c>
      <c r="N580" s="7" t="s">
        <v>74</v>
      </c>
      <c r="O580" s="7"/>
      <c r="P580" s="8" t="s">
        <v>39</v>
      </c>
      <c r="Q580">
        <v>3.14</v>
      </c>
      <c r="R580">
        <v>17.899999999999999</v>
      </c>
      <c r="S580" t="s">
        <v>53</v>
      </c>
      <c r="T580">
        <v>10</v>
      </c>
      <c r="U580">
        <f t="shared" si="45"/>
        <v>31.400000000000002</v>
      </c>
      <c r="V580">
        <v>1.03</v>
      </c>
      <c r="W580">
        <v>160</v>
      </c>
      <c r="X580">
        <v>0.35</v>
      </c>
      <c r="Y580">
        <f t="shared" si="46"/>
        <v>56</v>
      </c>
      <c r="Z580">
        <f t="shared" si="47"/>
        <v>32.342000000000006</v>
      </c>
      <c r="AA580">
        <f t="shared" si="48"/>
        <v>0</v>
      </c>
      <c r="AB580">
        <f t="shared" si="49"/>
        <v>0</v>
      </c>
    </row>
    <row r="581" spans="1:28" ht="25.5" x14ac:dyDescent="0.25">
      <c r="A581" s="7">
        <v>580</v>
      </c>
      <c r="B581" s="7" t="s">
        <v>15</v>
      </c>
      <c r="C581" s="7" t="s">
        <v>49</v>
      </c>
      <c r="D581" s="7" t="s">
        <v>677</v>
      </c>
      <c r="E581" s="7"/>
      <c r="F581" s="8"/>
      <c r="G581" s="7" t="s">
        <v>677</v>
      </c>
      <c r="H581" s="9">
        <v>37.164361999999997</v>
      </c>
      <c r="I581" s="9">
        <v>9.8049710000000001</v>
      </c>
      <c r="J581" s="7" t="s">
        <v>51</v>
      </c>
      <c r="K581" s="7" t="s">
        <v>37</v>
      </c>
      <c r="L581" s="7"/>
      <c r="M581" s="10">
        <v>3.45</v>
      </c>
      <c r="N581" s="7" t="s">
        <v>78</v>
      </c>
      <c r="O581" s="7"/>
      <c r="P581" s="8" t="s">
        <v>39</v>
      </c>
      <c r="Q581">
        <v>1.84</v>
      </c>
      <c r="R581">
        <v>18.7</v>
      </c>
      <c r="S581" t="s">
        <v>53</v>
      </c>
      <c r="T581">
        <v>14</v>
      </c>
      <c r="U581">
        <f t="shared" si="45"/>
        <v>25.76</v>
      </c>
      <c r="V581">
        <v>1.1499999999999999</v>
      </c>
      <c r="W581">
        <v>0</v>
      </c>
      <c r="X581">
        <v>0</v>
      </c>
      <c r="Y581">
        <f t="shared" si="46"/>
        <v>0</v>
      </c>
      <c r="Z581">
        <f t="shared" si="47"/>
        <v>29.623999999999999</v>
      </c>
      <c r="AA581">
        <f t="shared" si="48"/>
        <v>29.623999999999999</v>
      </c>
      <c r="AB581">
        <f t="shared" si="49"/>
        <v>102.2028</v>
      </c>
    </row>
    <row r="582" spans="1:28" ht="25.5" x14ac:dyDescent="0.25">
      <c r="A582" s="7">
        <v>581</v>
      </c>
      <c r="B582" s="7" t="s">
        <v>15</v>
      </c>
      <c r="C582" s="7" t="s">
        <v>54</v>
      </c>
      <c r="D582" s="7" t="s">
        <v>678</v>
      </c>
      <c r="E582" s="7"/>
      <c r="F582" s="8"/>
      <c r="G582" s="7" t="s">
        <v>678</v>
      </c>
      <c r="H582" s="9">
        <v>33.632435000000001</v>
      </c>
      <c r="I582" s="9">
        <v>10.275912</v>
      </c>
      <c r="J582" s="7" t="s">
        <v>56</v>
      </c>
      <c r="K582" s="7" t="s">
        <v>37</v>
      </c>
      <c r="L582" s="7"/>
      <c r="M582" s="10">
        <v>18.88</v>
      </c>
      <c r="N582" s="7" t="s">
        <v>38</v>
      </c>
      <c r="O582" s="7"/>
      <c r="P582" s="8" t="s">
        <v>39</v>
      </c>
      <c r="Q582">
        <v>4.8899999999999997</v>
      </c>
      <c r="R582">
        <v>39.5</v>
      </c>
      <c r="S582" t="s">
        <v>40</v>
      </c>
      <c r="T582">
        <v>18</v>
      </c>
      <c r="U582">
        <f t="shared" si="45"/>
        <v>88.02</v>
      </c>
      <c r="V582">
        <v>0.6</v>
      </c>
      <c r="W582">
        <v>120</v>
      </c>
      <c r="X582">
        <v>0.35</v>
      </c>
      <c r="Y582">
        <f t="shared" si="46"/>
        <v>42</v>
      </c>
      <c r="Z582">
        <f t="shared" si="47"/>
        <v>52.811999999999998</v>
      </c>
      <c r="AA582">
        <f t="shared" si="48"/>
        <v>10.811999999999998</v>
      </c>
      <c r="AB582">
        <f t="shared" si="49"/>
        <v>204.13055999999995</v>
      </c>
    </row>
    <row r="583" spans="1:28" ht="25.5" x14ac:dyDescent="0.25">
      <c r="A583" s="7">
        <v>582</v>
      </c>
      <c r="B583" s="7" t="s">
        <v>15</v>
      </c>
      <c r="C583" s="7" t="s">
        <v>59</v>
      </c>
      <c r="D583" s="7" t="s">
        <v>679</v>
      </c>
      <c r="E583" s="7"/>
      <c r="F583" s="8"/>
      <c r="G583" s="7" t="s">
        <v>679</v>
      </c>
      <c r="H583" s="9">
        <v>34.343718000000003</v>
      </c>
      <c r="I583" s="9">
        <v>8.4241489999999999</v>
      </c>
      <c r="J583" s="7" t="s">
        <v>61</v>
      </c>
      <c r="K583" s="7" t="s">
        <v>37</v>
      </c>
      <c r="L583" s="7"/>
      <c r="M583" s="10">
        <v>15.93</v>
      </c>
      <c r="N583" s="7" t="s">
        <v>44</v>
      </c>
      <c r="O583" s="7"/>
      <c r="P583" s="8" t="s">
        <v>39</v>
      </c>
      <c r="Q583">
        <v>3.32</v>
      </c>
      <c r="R583">
        <v>15.2</v>
      </c>
      <c r="S583" t="s">
        <v>53</v>
      </c>
      <c r="T583">
        <v>18</v>
      </c>
      <c r="U583">
        <f t="shared" si="45"/>
        <v>59.76</v>
      </c>
      <c r="V583">
        <v>1.1499999999999999</v>
      </c>
      <c r="W583">
        <v>0</v>
      </c>
      <c r="X583">
        <v>0</v>
      </c>
      <c r="Y583">
        <f t="shared" si="46"/>
        <v>0</v>
      </c>
      <c r="Z583">
        <f t="shared" si="47"/>
        <v>68.72399999999999</v>
      </c>
      <c r="AA583">
        <f t="shared" si="48"/>
        <v>68.72399999999999</v>
      </c>
      <c r="AB583">
        <f t="shared" si="49"/>
        <v>1094.7733199999998</v>
      </c>
    </row>
    <row r="584" spans="1:28" ht="25.5" x14ac:dyDescent="0.25">
      <c r="A584" s="7">
        <v>583</v>
      </c>
      <c r="B584" s="7" t="s">
        <v>15</v>
      </c>
      <c r="C584" s="7" t="s">
        <v>63</v>
      </c>
      <c r="D584" s="7" t="s">
        <v>680</v>
      </c>
      <c r="E584" s="7"/>
      <c r="F584" s="8"/>
      <c r="G584" s="7" t="s">
        <v>680</v>
      </c>
      <c r="H584" s="9">
        <v>36.928834000000002</v>
      </c>
      <c r="I584" s="9">
        <v>8.7438649999999996</v>
      </c>
      <c r="J584" s="7" t="s">
        <v>65</v>
      </c>
      <c r="K584" s="7" t="s">
        <v>37</v>
      </c>
      <c r="L584" s="7"/>
      <c r="M584" s="10">
        <v>13.47</v>
      </c>
      <c r="N584" s="7" t="s">
        <v>48</v>
      </c>
      <c r="O584" s="7"/>
      <c r="P584" s="8" t="s">
        <v>39</v>
      </c>
      <c r="Q584">
        <v>3.15</v>
      </c>
      <c r="R584">
        <v>34.799999999999997</v>
      </c>
      <c r="S584" t="s">
        <v>58</v>
      </c>
      <c r="T584">
        <v>16</v>
      </c>
      <c r="U584">
        <f t="shared" si="45"/>
        <v>50.4</v>
      </c>
      <c r="V584">
        <v>0.81</v>
      </c>
      <c r="W584">
        <v>120</v>
      </c>
      <c r="X584">
        <v>0.35</v>
      </c>
      <c r="Y584">
        <f t="shared" si="46"/>
        <v>42</v>
      </c>
      <c r="Z584">
        <f t="shared" si="47"/>
        <v>40.823999999999998</v>
      </c>
      <c r="AA584">
        <f t="shared" si="48"/>
        <v>0</v>
      </c>
      <c r="AB584">
        <f t="shared" si="49"/>
        <v>0</v>
      </c>
    </row>
    <row r="585" spans="1:28" ht="25.5" x14ac:dyDescent="0.25">
      <c r="A585" s="7">
        <v>584</v>
      </c>
      <c r="B585" s="7" t="s">
        <v>15</v>
      </c>
      <c r="C585" s="7" t="s">
        <v>67</v>
      </c>
      <c r="D585" s="7" t="s">
        <v>681</v>
      </c>
      <c r="E585" s="7"/>
      <c r="F585" s="8"/>
      <c r="G585" s="7" t="s">
        <v>681</v>
      </c>
      <c r="H585" s="9">
        <v>35.620168999999997</v>
      </c>
      <c r="I585" s="9">
        <v>9.9160129999999995</v>
      </c>
      <c r="J585" s="7" t="s">
        <v>69</v>
      </c>
      <c r="K585" s="7" t="s">
        <v>37</v>
      </c>
      <c r="L585" s="7"/>
      <c r="M585" s="10">
        <v>16.079999999999998</v>
      </c>
      <c r="N585" s="7" t="s">
        <v>52</v>
      </c>
      <c r="O585" s="7"/>
      <c r="P585" s="8" t="s">
        <v>39</v>
      </c>
      <c r="Q585">
        <v>6.24</v>
      </c>
      <c r="R585">
        <v>24.3</v>
      </c>
      <c r="S585" t="s">
        <v>53</v>
      </c>
      <c r="T585">
        <v>12</v>
      </c>
      <c r="U585">
        <f t="shared" si="45"/>
        <v>74.88</v>
      </c>
      <c r="V585">
        <v>1.26</v>
      </c>
      <c r="W585">
        <v>80</v>
      </c>
      <c r="X585">
        <v>0.35</v>
      </c>
      <c r="Y585">
        <f t="shared" si="46"/>
        <v>28</v>
      </c>
      <c r="Z585">
        <f t="shared" si="47"/>
        <v>94.348799999999997</v>
      </c>
      <c r="AA585">
        <f t="shared" si="48"/>
        <v>66.348799999999997</v>
      </c>
      <c r="AB585">
        <f t="shared" si="49"/>
        <v>1066.8887039999997</v>
      </c>
    </row>
    <row r="586" spans="1:28" ht="25.5" x14ac:dyDescent="0.25">
      <c r="A586" s="7">
        <v>585</v>
      </c>
      <c r="B586" s="7" t="s">
        <v>15</v>
      </c>
      <c r="C586" s="7" t="s">
        <v>71</v>
      </c>
      <c r="D586" s="7" t="s">
        <v>682</v>
      </c>
      <c r="E586" s="7"/>
      <c r="F586" s="8"/>
      <c r="G586" s="7" t="s">
        <v>682</v>
      </c>
      <c r="H586" s="9">
        <v>35.228670999999999</v>
      </c>
      <c r="I586" s="9">
        <v>9.1126450000000006</v>
      </c>
      <c r="J586" s="7" t="s">
        <v>73</v>
      </c>
      <c r="K586" s="7" t="s">
        <v>37</v>
      </c>
      <c r="L586" s="7"/>
      <c r="M586" s="10">
        <v>10.49</v>
      </c>
      <c r="N586" s="7" t="s">
        <v>57</v>
      </c>
      <c r="O586" s="7"/>
      <c r="P586" s="8" t="s">
        <v>39</v>
      </c>
      <c r="Q586">
        <v>2.46</v>
      </c>
      <c r="R586">
        <v>27.7</v>
      </c>
      <c r="S586" t="s">
        <v>58</v>
      </c>
      <c r="T586">
        <v>8</v>
      </c>
      <c r="U586">
        <f t="shared" si="45"/>
        <v>19.68</v>
      </c>
      <c r="V586">
        <v>1.08</v>
      </c>
      <c r="W586">
        <v>0</v>
      </c>
      <c r="X586">
        <v>0</v>
      </c>
      <c r="Y586">
        <f t="shared" si="46"/>
        <v>0</v>
      </c>
      <c r="Z586">
        <f t="shared" si="47"/>
        <v>21.2544</v>
      </c>
      <c r="AA586">
        <f t="shared" si="48"/>
        <v>21.2544</v>
      </c>
      <c r="AB586">
        <f t="shared" si="49"/>
        <v>222.95865600000002</v>
      </c>
    </row>
    <row r="587" spans="1:28" ht="25.5" x14ac:dyDescent="0.25">
      <c r="A587" s="7">
        <v>586</v>
      </c>
      <c r="B587" s="7" t="s">
        <v>15</v>
      </c>
      <c r="C587" s="7" t="s">
        <v>75</v>
      </c>
      <c r="D587" s="7" t="s">
        <v>683</v>
      </c>
      <c r="E587" s="7"/>
      <c r="F587" s="8"/>
      <c r="G587" s="7" t="s">
        <v>683</v>
      </c>
      <c r="H587" s="9">
        <v>33.467331999999999</v>
      </c>
      <c r="I587" s="9">
        <v>9.0047169999999994</v>
      </c>
      <c r="J587" s="7" t="s">
        <v>77</v>
      </c>
      <c r="K587" s="7" t="s">
        <v>37</v>
      </c>
      <c r="L587" s="7"/>
      <c r="M587" s="10">
        <v>3.89</v>
      </c>
      <c r="N587" s="7" t="s">
        <v>62</v>
      </c>
      <c r="O587" s="7"/>
      <c r="P587" s="8" t="s">
        <v>39</v>
      </c>
      <c r="Q587">
        <v>6</v>
      </c>
      <c r="R587">
        <v>44.7</v>
      </c>
      <c r="S587" t="s">
        <v>40</v>
      </c>
      <c r="T587">
        <v>7</v>
      </c>
      <c r="U587">
        <f t="shared" si="45"/>
        <v>42</v>
      </c>
      <c r="V587">
        <v>0.66</v>
      </c>
      <c r="W587">
        <v>80</v>
      </c>
      <c r="X587">
        <v>0.35</v>
      </c>
      <c r="Y587">
        <f t="shared" si="46"/>
        <v>28</v>
      </c>
      <c r="Z587">
        <f t="shared" si="47"/>
        <v>27.720000000000002</v>
      </c>
      <c r="AA587">
        <f t="shared" si="48"/>
        <v>0</v>
      </c>
      <c r="AB587">
        <f t="shared" si="49"/>
        <v>0</v>
      </c>
    </row>
    <row r="588" spans="1:28" ht="25.5" x14ac:dyDescent="0.25">
      <c r="A588" s="7">
        <v>587</v>
      </c>
      <c r="B588" s="7" t="s">
        <v>15</v>
      </c>
      <c r="C588" s="7" t="s">
        <v>79</v>
      </c>
      <c r="D588" s="7" t="s">
        <v>684</v>
      </c>
      <c r="E588" s="7"/>
      <c r="F588" s="8"/>
      <c r="G588" s="7" t="s">
        <v>684</v>
      </c>
      <c r="H588" s="9">
        <v>35.946857000000001</v>
      </c>
      <c r="I588" s="9">
        <v>8.8490149999999996</v>
      </c>
      <c r="J588" s="7" t="s">
        <v>81</v>
      </c>
      <c r="K588" s="7" t="s">
        <v>37</v>
      </c>
      <c r="L588" s="7"/>
      <c r="M588" s="10">
        <v>8.57</v>
      </c>
      <c r="N588" s="7" t="s">
        <v>66</v>
      </c>
      <c r="O588" s="7"/>
      <c r="P588" s="8" t="s">
        <v>39</v>
      </c>
      <c r="Q588">
        <v>1.84</v>
      </c>
      <c r="R588">
        <v>42.3</v>
      </c>
      <c r="S588" t="s">
        <v>40</v>
      </c>
      <c r="T588">
        <v>10</v>
      </c>
      <c r="U588">
        <f t="shared" si="45"/>
        <v>18.400000000000002</v>
      </c>
      <c r="V588">
        <v>0.48</v>
      </c>
      <c r="W588">
        <v>50</v>
      </c>
      <c r="X588">
        <v>0.35</v>
      </c>
      <c r="Y588">
        <f t="shared" si="46"/>
        <v>17.5</v>
      </c>
      <c r="Z588">
        <f t="shared" si="47"/>
        <v>8.8320000000000007</v>
      </c>
      <c r="AA588">
        <f t="shared" si="48"/>
        <v>0</v>
      </c>
      <c r="AB588">
        <f t="shared" si="49"/>
        <v>0</v>
      </c>
    </row>
    <row r="589" spans="1:28" ht="25.5" x14ac:dyDescent="0.25">
      <c r="A589" s="7">
        <v>588</v>
      </c>
      <c r="B589" s="7" t="s">
        <v>15</v>
      </c>
      <c r="C589" s="7" t="s">
        <v>82</v>
      </c>
      <c r="D589" s="7" t="s">
        <v>685</v>
      </c>
      <c r="E589" s="7"/>
      <c r="F589" s="8"/>
      <c r="G589" s="7" t="s">
        <v>685</v>
      </c>
      <c r="H589" s="9">
        <v>35.222217000000001</v>
      </c>
      <c r="I589" s="9">
        <v>11.130573999999999</v>
      </c>
      <c r="J589" s="7" t="s">
        <v>84</v>
      </c>
      <c r="K589" s="7" t="s">
        <v>37</v>
      </c>
      <c r="L589" s="7"/>
      <c r="M589" s="10">
        <v>16.190000000000001</v>
      </c>
      <c r="N589" s="7" t="s">
        <v>70</v>
      </c>
      <c r="O589" s="7"/>
      <c r="P589" s="8" t="s">
        <v>39</v>
      </c>
      <c r="Q589">
        <v>7.31</v>
      </c>
      <c r="R589">
        <v>28.1</v>
      </c>
      <c r="S589" t="s">
        <v>58</v>
      </c>
      <c r="T589">
        <v>9</v>
      </c>
      <c r="U589">
        <f t="shared" si="45"/>
        <v>65.789999999999992</v>
      </c>
      <c r="V589">
        <v>0.81</v>
      </c>
      <c r="W589">
        <v>0</v>
      </c>
      <c r="X589">
        <v>0</v>
      </c>
      <c r="Y589">
        <f t="shared" si="46"/>
        <v>0</v>
      </c>
      <c r="Z589">
        <f t="shared" si="47"/>
        <v>53.289899999999996</v>
      </c>
      <c r="AA589">
        <f t="shared" si="48"/>
        <v>53.289899999999996</v>
      </c>
      <c r="AB589">
        <f t="shared" si="49"/>
        <v>862.76348099999996</v>
      </c>
    </row>
    <row r="590" spans="1:28" ht="25.5" x14ac:dyDescent="0.25">
      <c r="A590" s="7">
        <v>589</v>
      </c>
      <c r="B590" s="7" t="s">
        <v>15</v>
      </c>
      <c r="C590" s="7" t="s">
        <v>85</v>
      </c>
      <c r="D590" s="7" t="s">
        <v>686</v>
      </c>
      <c r="E590" s="7"/>
      <c r="F590" s="8"/>
      <c r="G590" s="7" t="s">
        <v>686</v>
      </c>
      <c r="H590" s="9">
        <v>36.842362999999999</v>
      </c>
      <c r="I590" s="9">
        <v>9.8745460000000005</v>
      </c>
      <c r="J590" s="7" t="s">
        <v>87</v>
      </c>
      <c r="K590" s="7" t="s">
        <v>37</v>
      </c>
      <c r="L590" s="7"/>
      <c r="M590" s="10">
        <v>24.41</v>
      </c>
      <c r="N590" s="7" t="s">
        <v>74</v>
      </c>
      <c r="O590" s="7"/>
      <c r="P590" s="8" t="s">
        <v>39</v>
      </c>
      <c r="Q590">
        <v>3.23</v>
      </c>
      <c r="R590">
        <v>44.8</v>
      </c>
      <c r="S590" t="s">
        <v>40</v>
      </c>
      <c r="T590">
        <v>10</v>
      </c>
      <c r="U590">
        <f t="shared" si="45"/>
        <v>32.299999999999997</v>
      </c>
      <c r="V590">
        <v>0.54</v>
      </c>
      <c r="W590">
        <v>0</v>
      </c>
      <c r="X590">
        <v>0</v>
      </c>
      <c r="Y590">
        <f t="shared" si="46"/>
        <v>0</v>
      </c>
      <c r="Z590">
        <f t="shared" si="47"/>
        <v>17.442</v>
      </c>
      <c r="AA590">
        <f t="shared" si="48"/>
        <v>17.442</v>
      </c>
      <c r="AB590">
        <f t="shared" si="49"/>
        <v>425.75922000000003</v>
      </c>
    </row>
    <row r="591" spans="1:28" ht="25.5" x14ac:dyDescent="0.25">
      <c r="A591" s="7">
        <v>590</v>
      </c>
      <c r="B591" s="7" t="s">
        <v>15</v>
      </c>
      <c r="C591" s="7" t="s">
        <v>88</v>
      </c>
      <c r="D591" s="7" t="s">
        <v>687</v>
      </c>
      <c r="E591" s="7"/>
      <c r="F591" s="8"/>
      <c r="G591" s="7" t="s">
        <v>687</v>
      </c>
      <c r="H591" s="9">
        <v>33.783394000000001</v>
      </c>
      <c r="I591" s="9">
        <v>11.006036</v>
      </c>
      <c r="J591" s="7" t="s">
        <v>90</v>
      </c>
      <c r="K591" s="7" t="s">
        <v>37</v>
      </c>
      <c r="L591" s="7"/>
      <c r="M591" s="10">
        <v>22.23</v>
      </c>
      <c r="N591" s="7" t="s">
        <v>78</v>
      </c>
      <c r="O591" s="7"/>
      <c r="P591" s="8" t="s">
        <v>39</v>
      </c>
      <c r="Q591">
        <v>3.67</v>
      </c>
      <c r="R591">
        <v>24.3</v>
      </c>
      <c r="S591" t="s">
        <v>53</v>
      </c>
      <c r="T591">
        <v>14</v>
      </c>
      <c r="U591">
        <f t="shared" si="45"/>
        <v>51.379999999999995</v>
      </c>
      <c r="V591">
        <v>1.1499999999999999</v>
      </c>
      <c r="W591">
        <v>160</v>
      </c>
      <c r="X591">
        <v>0.35</v>
      </c>
      <c r="Y591">
        <f t="shared" si="46"/>
        <v>56</v>
      </c>
      <c r="Z591">
        <f t="shared" si="47"/>
        <v>59.086999999999989</v>
      </c>
      <c r="AA591">
        <f t="shared" si="48"/>
        <v>3.0869999999999891</v>
      </c>
      <c r="AB591">
        <f t="shared" si="49"/>
        <v>68.624009999999757</v>
      </c>
    </row>
    <row r="592" spans="1:28" ht="25.5" x14ac:dyDescent="0.25">
      <c r="A592" s="7">
        <v>591</v>
      </c>
      <c r="B592" s="7" t="s">
        <v>15</v>
      </c>
      <c r="C592" s="7" t="s">
        <v>92</v>
      </c>
      <c r="D592" s="7" t="s">
        <v>688</v>
      </c>
      <c r="E592" s="7"/>
      <c r="F592" s="8"/>
      <c r="G592" s="7" t="s">
        <v>688</v>
      </c>
      <c r="H592" s="9">
        <v>35.617173999999999</v>
      </c>
      <c r="I592" s="9">
        <v>10.733616</v>
      </c>
      <c r="J592" s="7" t="s">
        <v>94</v>
      </c>
      <c r="K592" s="7" t="s">
        <v>37</v>
      </c>
      <c r="L592" s="7"/>
      <c r="M592" s="10">
        <v>20.56</v>
      </c>
      <c r="N592" s="7" t="s">
        <v>38</v>
      </c>
      <c r="O592" s="7"/>
      <c r="P592" s="8" t="s">
        <v>39</v>
      </c>
      <c r="Q592">
        <v>2.4900000000000002</v>
      </c>
      <c r="R592">
        <v>38.700000000000003</v>
      </c>
      <c r="S592" t="s">
        <v>40</v>
      </c>
      <c r="T592">
        <v>18</v>
      </c>
      <c r="U592">
        <f t="shared" si="45"/>
        <v>44.820000000000007</v>
      </c>
      <c r="V592">
        <v>0.6</v>
      </c>
      <c r="W592">
        <v>0</v>
      </c>
      <c r="X592">
        <v>0</v>
      </c>
      <c r="Y592">
        <f t="shared" si="46"/>
        <v>0</v>
      </c>
      <c r="Z592">
        <f t="shared" si="47"/>
        <v>26.892000000000003</v>
      </c>
      <c r="AA592">
        <f t="shared" si="48"/>
        <v>26.892000000000003</v>
      </c>
      <c r="AB592">
        <f t="shared" si="49"/>
        <v>552.89952000000005</v>
      </c>
    </row>
    <row r="593" spans="1:28" ht="25.5" x14ac:dyDescent="0.25">
      <c r="A593" s="7">
        <v>592</v>
      </c>
      <c r="B593" s="7" t="s">
        <v>15</v>
      </c>
      <c r="C593" s="7" t="s">
        <v>95</v>
      </c>
      <c r="D593" s="7" t="s">
        <v>689</v>
      </c>
      <c r="E593" s="7"/>
      <c r="F593" s="8"/>
      <c r="G593" s="7" t="s">
        <v>689</v>
      </c>
      <c r="H593" s="9">
        <v>36.559672999999997</v>
      </c>
      <c r="I593" s="9">
        <v>10.862729</v>
      </c>
      <c r="J593" s="7" t="s">
        <v>97</v>
      </c>
      <c r="K593" s="7" t="s">
        <v>37</v>
      </c>
      <c r="L593" s="7"/>
      <c r="M593" s="10">
        <v>15.26</v>
      </c>
      <c r="N593" s="7" t="s">
        <v>44</v>
      </c>
      <c r="O593" s="7"/>
      <c r="P593" s="8" t="s">
        <v>39</v>
      </c>
      <c r="Q593">
        <v>5.41</v>
      </c>
      <c r="R593">
        <v>35.1</v>
      </c>
      <c r="S593" t="s">
        <v>40</v>
      </c>
      <c r="T593">
        <v>18</v>
      </c>
      <c r="U593">
        <f t="shared" si="45"/>
        <v>97.38</v>
      </c>
      <c r="V593">
        <v>0.6</v>
      </c>
      <c r="W593">
        <v>50</v>
      </c>
      <c r="X593">
        <v>0.35</v>
      </c>
      <c r="Y593">
        <f t="shared" si="46"/>
        <v>17.5</v>
      </c>
      <c r="Z593">
        <f t="shared" si="47"/>
        <v>58.427999999999997</v>
      </c>
      <c r="AA593">
        <f t="shared" si="48"/>
        <v>40.927999999999997</v>
      </c>
      <c r="AB593">
        <f t="shared" si="49"/>
        <v>624.5612799999999</v>
      </c>
    </row>
    <row r="594" spans="1:28" ht="25.5" x14ac:dyDescent="0.25">
      <c r="A594" s="7">
        <v>593</v>
      </c>
      <c r="B594" s="7" t="s">
        <v>15</v>
      </c>
      <c r="C594" s="7" t="s">
        <v>98</v>
      </c>
      <c r="D594" s="7" t="s">
        <v>690</v>
      </c>
      <c r="E594" s="7"/>
      <c r="F594" s="8"/>
      <c r="G594" s="7" t="s">
        <v>690</v>
      </c>
      <c r="H594" s="9">
        <v>34.734533999999996</v>
      </c>
      <c r="I594" s="9">
        <v>10.509959</v>
      </c>
      <c r="J594" s="7" t="s">
        <v>100</v>
      </c>
      <c r="K594" s="7" t="s">
        <v>37</v>
      </c>
      <c r="L594" s="7"/>
      <c r="M594" s="10">
        <v>9.61</v>
      </c>
      <c r="N594" s="7" t="s">
        <v>48</v>
      </c>
      <c r="O594" s="7"/>
      <c r="P594" s="8" t="s">
        <v>39</v>
      </c>
      <c r="Q594">
        <v>5.17</v>
      </c>
      <c r="R594">
        <v>27.6</v>
      </c>
      <c r="S594" t="s">
        <v>58</v>
      </c>
      <c r="T594">
        <v>16</v>
      </c>
      <c r="U594">
        <f t="shared" si="45"/>
        <v>82.72</v>
      </c>
      <c r="V594">
        <v>0.81</v>
      </c>
      <c r="W594">
        <v>0</v>
      </c>
      <c r="X594">
        <v>0</v>
      </c>
      <c r="Y594">
        <f t="shared" si="46"/>
        <v>0</v>
      </c>
      <c r="Z594">
        <f t="shared" si="47"/>
        <v>67.003200000000007</v>
      </c>
      <c r="AA594">
        <f t="shared" si="48"/>
        <v>67.003200000000007</v>
      </c>
      <c r="AB594">
        <f t="shared" si="49"/>
        <v>643.90075200000001</v>
      </c>
    </row>
    <row r="595" spans="1:28" ht="25.5" x14ac:dyDescent="0.25">
      <c r="A595" s="7">
        <v>594</v>
      </c>
      <c r="B595" s="7" t="s">
        <v>15</v>
      </c>
      <c r="C595" s="7" t="s">
        <v>101</v>
      </c>
      <c r="D595" s="7" t="s">
        <v>691</v>
      </c>
      <c r="E595" s="7"/>
      <c r="F595" s="8"/>
      <c r="G595" s="7" t="s">
        <v>691</v>
      </c>
      <c r="H595" s="9">
        <v>34.940268000000003</v>
      </c>
      <c r="I595" s="9">
        <v>9.8016089999999991</v>
      </c>
      <c r="J595" s="7" t="s">
        <v>103</v>
      </c>
      <c r="K595" s="7" t="s">
        <v>37</v>
      </c>
      <c r="L595" s="7"/>
      <c r="M595" s="10">
        <v>18.71</v>
      </c>
      <c r="N595" s="7" t="s">
        <v>52</v>
      </c>
      <c r="O595" s="7"/>
      <c r="P595" s="8" t="s">
        <v>39</v>
      </c>
      <c r="Q595">
        <v>7.55</v>
      </c>
      <c r="R595">
        <v>12.7</v>
      </c>
      <c r="S595" t="s">
        <v>91</v>
      </c>
      <c r="T595">
        <v>12</v>
      </c>
      <c r="U595">
        <f t="shared" si="45"/>
        <v>90.6</v>
      </c>
      <c r="V595">
        <v>1.49</v>
      </c>
      <c r="W595">
        <v>50</v>
      </c>
      <c r="X595">
        <v>0.35</v>
      </c>
      <c r="Y595">
        <f t="shared" si="46"/>
        <v>17.5</v>
      </c>
      <c r="Z595">
        <f t="shared" si="47"/>
        <v>134.994</v>
      </c>
      <c r="AA595">
        <f t="shared" si="48"/>
        <v>117.494</v>
      </c>
      <c r="AB595">
        <f t="shared" si="49"/>
        <v>2198.3127400000003</v>
      </c>
    </row>
    <row r="596" spans="1:28" ht="25.5" x14ac:dyDescent="0.25">
      <c r="A596" s="7">
        <v>595</v>
      </c>
      <c r="B596" s="7" t="s">
        <v>15</v>
      </c>
      <c r="C596" s="7" t="s">
        <v>104</v>
      </c>
      <c r="D596" s="7" t="s">
        <v>692</v>
      </c>
      <c r="E596" s="7"/>
      <c r="F596" s="8"/>
      <c r="G596" s="7" t="s">
        <v>692</v>
      </c>
      <c r="H596" s="9">
        <v>35.837772000000001</v>
      </c>
      <c r="I596" s="9">
        <v>9.1798260000000003</v>
      </c>
      <c r="J596" s="7" t="s">
        <v>106</v>
      </c>
      <c r="K596" s="7" t="s">
        <v>37</v>
      </c>
      <c r="L596" s="7"/>
      <c r="M596" s="10">
        <v>8.1199999999999992</v>
      </c>
      <c r="N596" s="7" t="s">
        <v>57</v>
      </c>
      <c r="O596" s="7"/>
      <c r="P596" s="8" t="s">
        <v>39</v>
      </c>
      <c r="Q596">
        <v>2.0699999999999998</v>
      </c>
      <c r="R596">
        <v>35.200000000000003</v>
      </c>
      <c r="S596" t="s">
        <v>40</v>
      </c>
      <c r="T596">
        <v>8</v>
      </c>
      <c r="U596">
        <f t="shared" si="45"/>
        <v>16.559999999999999</v>
      </c>
      <c r="V596">
        <v>0.72</v>
      </c>
      <c r="W596">
        <v>50</v>
      </c>
      <c r="X596">
        <v>0.35</v>
      </c>
      <c r="Y596">
        <f t="shared" si="46"/>
        <v>17.5</v>
      </c>
      <c r="Z596">
        <f t="shared" si="47"/>
        <v>11.923199999999998</v>
      </c>
      <c r="AA596">
        <f t="shared" si="48"/>
        <v>0</v>
      </c>
      <c r="AB596">
        <f t="shared" si="49"/>
        <v>0</v>
      </c>
    </row>
    <row r="597" spans="1:28" ht="25.5" x14ac:dyDescent="0.25">
      <c r="A597" s="7">
        <v>596</v>
      </c>
      <c r="B597" s="7" t="s">
        <v>15</v>
      </c>
      <c r="C597" s="7" t="s">
        <v>107</v>
      </c>
      <c r="D597" s="7" t="s">
        <v>693</v>
      </c>
      <c r="E597" s="7"/>
      <c r="F597" s="8"/>
      <c r="G597" s="7" t="s">
        <v>693</v>
      </c>
      <c r="H597" s="9">
        <v>36.116135</v>
      </c>
      <c r="I597" s="9">
        <v>10.363035</v>
      </c>
      <c r="J597" s="7" t="s">
        <v>109</v>
      </c>
      <c r="K597" s="7" t="s">
        <v>37</v>
      </c>
      <c r="L597" s="7"/>
      <c r="M597" s="10">
        <v>10.49</v>
      </c>
      <c r="N597" s="7" t="s">
        <v>62</v>
      </c>
      <c r="O597" s="7"/>
      <c r="P597" s="8" t="s">
        <v>39</v>
      </c>
      <c r="Q597">
        <v>2.4300000000000002</v>
      </c>
      <c r="R597">
        <v>11.7</v>
      </c>
      <c r="S597" t="s">
        <v>91</v>
      </c>
      <c r="T597">
        <v>7</v>
      </c>
      <c r="U597">
        <f t="shared" si="45"/>
        <v>17.010000000000002</v>
      </c>
      <c r="V597">
        <v>1.49</v>
      </c>
      <c r="W597">
        <v>120</v>
      </c>
      <c r="X597">
        <v>0.35</v>
      </c>
      <c r="Y597">
        <f t="shared" si="46"/>
        <v>42</v>
      </c>
      <c r="Z597">
        <f t="shared" si="47"/>
        <v>25.344900000000003</v>
      </c>
      <c r="AA597">
        <f t="shared" si="48"/>
        <v>0</v>
      </c>
      <c r="AB597">
        <f t="shared" si="49"/>
        <v>0</v>
      </c>
    </row>
    <row r="598" spans="1:28" ht="25.5" x14ac:dyDescent="0.25">
      <c r="A598" s="7">
        <v>597</v>
      </c>
      <c r="B598" s="7" t="s">
        <v>15</v>
      </c>
      <c r="C598" s="7" t="s">
        <v>110</v>
      </c>
      <c r="D598" s="7" t="s">
        <v>694</v>
      </c>
      <c r="E598" s="7"/>
      <c r="F598" s="8"/>
      <c r="G598" s="7" t="s">
        <v>694</v>
      </c>
      <c r="H598" s="9">
        <v>33.167594000000001</v>
      </c>
      <c r="I598" s="9">
        <v>10.210165</v>
      </c>
      <c r="J598" s="7" t="s">
        <v>112</v>
      </c>
      <c r="K598" s="7" t="s">
        <v>37</v>
      </c>
      <c r="L598" s="7"/>
      <c r="M598" s="10">
        <v>14.54</v>
      </c>
      <c r="N598" s="7" t="s">
        <v>66</v>
      </c>
      <c r="O598" s="7"/>
      <c r="P598" s="8" t="s">
        <v>39</v>
      </c>
      <c r="Q598">
        <v>7.95</v>
      </c>
      <c r="R598">
        <v>10.8</v>
      </c>
      <c r="S598" t="s">
        <v>91</v>
      </c>
      <c r="T598">
        <v>10</v>
      </c>
      <c r="U598">
        <f t="shared" si="45"/>
        <v>79.5</v>
      </c>
      <c r="V598">
        <v>1.08</v>
      </c>
      <c r="W598">
        <v>160</v>
      </c>
      <c r="X598">
        <v>0.35</v>
      </c>
      <c r="Y598">
        <f t="shared" si="46"/>
        <v>56</v>
      </c>
      <c r="Z598">
        <f t="shared" si="47"/>
        <v>85.86</v>
      </c>
      <c r="AA598">
        <f t="shared" si="48"/>
        <v>29.86</v>
      </c>
      <c r="AB598">
        <f t="shared" si="49"/>
        <v>434.16439999999994</v>
      </c>
    </row>
    <row r="599" spans="1:28" ht="25.5" x14ac:dyDescent="0.25">
      <c r="A599" s="7">
        <v>598</v>
      </c>
      <c r="B599" s="7" t="s">
        <v>15</v>
      </c>
      <c r="C599" s="7" t="s">
        <v>113</v>
      </c>
      <c r="D599" s="7" t="s">
        <v>695</v>
      </c>
      <c r="E599" s="7"/>
      <c r="F599" s="8"/>
      <c r="G599" s="7" t="s">
        <v>695</v>
      </c>
      <c r="H599" s="9">
        <v>33.890700000000002</v>
      </c>
      <c r="I599" s="9">
        <v>7.8971580000000001</v>
      </c>
      <c r="J599" s="7" t="s">
        <v>115</v>
      </c>
      <c r="K599" s="7" t="s">
        <v>37</v>
      </c>
      <c r="L599" s="7"/>
      <c r="M599" s="10">
        <v>24.47</v>
      </c>
      <c r="N599" s="7" t="s">
        <v>70</v>
      </c>
      <c r="O599" s="7"/>
      <c r="P599" s="8" t="s">
        <v>39</v>
      </c>
      <c r="Q599">
        <v>5.67</v>
      </c>
      <c r="R599">
        <v>20.100000000000001</v>
      </c>
      <c r="S599" t="s">
        <v>53</v>
      </c>
      <c r="T599">
        <v>9</v>
      </c>
      <c r="U599">
        <f t="shared" si="45"/>
        <v>51.03</v>
      </c>
      <c r="V599">
        <v>1.03</v>
      </c>
      <c r="W599">
        <v>0</v>
      </c>
      <c r="X599">
        <v>0</v>
      </c>
      <c r="Y599">
        <f t="shared" si="46"/>
        <v>0</v>
      </c>
      <c r="Z599">
        <f t="shared" si="47"/>
        <v>52.560900000000004</v>
      </c>
      <c r="AA599">
        <f t="shared" si="48"/>
        <v>52.560900000000004</v>
      </c>
      <c r="AB599">
        <f t="shared" si="49"/>
        <v>1286.165223</v>
      </c>
    </row>
    <row r="600" spans="1:28" ht="25.5" x14ac:dyDescent="0.25">
      <c r="A600" s="7">
        <v>599</v>
      </c>
      <c r="B600" s="7" t="s">
        <v>15</v>
      </c>
      <c r="C600" s="7" t="s">
        <v>116</v>
      </c>
      <c r="D600" s="7" t="s">
        <v>696</v>
      </c>
      <c r="E600" s="7"/>
      <c r="F600" s="8"/>
      <c r="G600" s="7" t="s">
        <v>696</v>
      </c>
      <c r="H600" s="9">
        <v>36.859293999999998</v>
      </c>
      <c r="I600" s="9">
        <v>10.339202</v>
      </c>
      <c r="J600" s="7" t="s">
        <v>118</v>
      </c>
      <c r="K600" s="7" t="s">
        <v>37</v>
      </c>
      <c r="L600" s="7"/>
      <c r="M600" s="10">
        <v>6.51</v>
      </c>
      <c r="N600" s="7" t="s">
        <v>74</v>
      </c>
      <c r="O600" s="7"/>
      <c r="P600" s="8" t="s">
        <v>39</v>
      </c>
      <c r="Q600">
        <v>5.67</v>
      </c>
      <c r="R600">
        <v>25.6</v>
      </c>
      <c r="S600" t="s">
        <v>58</v>
      </c>
      <c r="T600">
        <v>10</v>
      </c>
      <c r="U600">
        <f t="shared" si="45"/>
        <v>56.7</v>
      </c>
      <c r="V600">
        <v>0.81</v>
      </c>
      <c r="W600">
        <v>160</v>
      </c>
      <c r="X600">
        <v>0.35</v>
      </c>
      <c r="Y600">
        <f t="shared" si="46"/>
        <v>56</v>
      </c>
      <c r="Z600">
        <f t="shared" si="47"/>
        <v>45.927000000000007</v>
      </c>
      <c r="AA600">
        <f t="shared" si="48"/>
        <v>0</v>
      </c>
      <c r="AB600">
        <f t="shared" si="49"/>
        <v>0</v>
      </c>
    </row>
    <row r="601" spans="1:28" ht="25.5" x14ac:dyDescent="0.25">
      <c r="A601" s="7">
        <v>600</v>
      </c>
      <c r="B601" s="7" t="s">
        <v>15</v>
      </c>
      <c r="C601" s="7" t="s">
        <v>119</v>
      </c>
      <c r="D601" s="7" t="s">
        <v>697</v>
      </c>
      <c r="E601" s="7"/>
      <c r="F601" s="8"/>
      <c r="G601" s="7" t="s">
        <v>697</v>
      </c>
      <c r="H601" s="9">
        <v>36.375559000000003</v>
      </c>
      <c r="I601" s="9">
        <v>9.6171900000000008</v>
      </c>
      <c r="J601" s="7" t="s">
        <v>121</v>
      </c>
      <c r="K601" s="7" t="s">
        <v>37</v>
      </c>
      <c r="L601" s="7"/>
      <c r="M601" s="10">
        <v>7.71</v>
      </c>
      <c r="N601" s="7" t="s">
        <v>78</v>
      </c>
      <c r="O601" s="7"/>
      <c r="P601" s="8" t="s">
        <v>39</v>
      </c>
      <c r="Q601">
        <v>2.73</v>
      </c>
      <c r="R601">
        <v>20.5</v>
      </c>
      <c r="S601" t="s">
        <v>53</v>
      </c>
      <c r="T601">
        <v>14</v>
      </c>
      <c r="U601">
        <f t="shared" si="45"/>
        <v>38.22</v>
      </c>
      <c r="V601">
        <v>1.1499999999999999</v>
      </c>
      <c r="W601">
        <v>0</v>
      </c>
      <c r="X601">
        <v>0</v>
      </c>
      <c r="Y601">
        <f t="shared" si="46"/>
        <v>0</v>
      </c>
      <c r="Z601">
        <f t="shared" si="47"/>
        <v>43.952999999999996</v>
      </c>
      <c r="AA601">
        <f t="shared" si="48"/>
        <v>43.952999999999996</v>
      </c>
      <c r="AB601">
        <f t="shared" si="49"/>
        <v>338.87762999999995</v>
      </c>
    </row>
    <row r="602" spans="1:28" ht="25.5" x14ac:dyDescent="0.25">
      <c r="A602" s="7">
        <v>601</v>
      </c>
      <c r="B602" s="7" t="s">
        <v>15</v>
      </c>
      <c r="C602" s="7" t="s">
        <v>34</v>
      </c>
      <c r="D602" s="7" t="s">
        <v>698</v>
      </c>
      <c r="E602" s="7"/>
      <c r="F602" s="8"/>
      <c r="G602" s="7" t="s">
        <v>698</v>
      </c>
      <c r="H602" s="9">
        <v>36.887104999999998</v>
      </c>
      <c r="I602" s="9">
        <v>10.200804</v>
      </c>
      <c r="J602" s="7" t="s">
        <v>36</v>
      </c>
      <c r="K602" s="7" t="s">
        <v>37</v>
      </c>
      <c r="L602" s="7"/>
      <c r="M602" s="10">
        <v>8.52</v>
      </c>
      <c r="N602" s="7" t="s">
        <v>38</v>
      </c>
      <c r="O602" s="7"/>
      <c r="P602" s="8" t="s">
        <v>39</v>
      </c>
      <c r="Q602">
        <v>5.8</v>
      </c>
      <c r="R602">
        <v>12.2</v>
      </c>
      <c r="S602" t="s">
        <v>91</v>
      </c>
      <c r="T602">
        <v>18</v>
      </c>
      <c r="U602">
        <f t="shared" si="45"/>
        <v>104.39999999999999</v>
      </c>
      <c r="V602">
        <v>1.35</v>
      </c>
      <c r="W602">
        <v>0</v>
      </c>
      <c r="X602">
        <v>0</v>
      </c>
      <c r="Y602">
        <f t="shared" si="46"/>
        <v>0</v>
      </c>
      <c r="Z602">
        <f t="shared" si="47"/>
        <v>140.94</v>
      </c>
      <c r="AA602">
        <f t="shared" si="48"/>
        <v>140.94</v>
      </c>
      <c r="AB602">
        <f t="shared" si="49"/>
        <v>1200.8088</v>
      </c>
    </row>
    <row r="603" spans="1:28" ht="25.5" x14ac:dyDescent="0.25">
      <c r="A603" s="7">
        <v>602</v>
      </c>
      <c r="B603" s="7" t="s">
        <v>15</v>
      </c>
      <c r="C603" s="7" t="s">
        <v>41</v>
      </c>
      <c r="D603" s="7" t="s">
        <v>699</v>
      </c>
      <c r="E603" s="7"/>
      <c r="F603" s="8"/>
      <c r="G603" s="7" t="s">
        <v>699</v>
      </c>
      <c r="H603" s="9">
        <v>36.655377999999999</v>
      </c>
      <c r="I603" s="9">
        <v>9.6153589999999998</v>
      </c>
      <c r="J603" s="7" t="s">
        <v>43</v>
      </c>
      <c r="K603" s="7" t="s">
        <v>37</v>
      </c>
      <c r="L603" s="7"/>
      <c r="M603" s="10">
        <v>22.39</v>
      </c>
      <c r="N603" s="7" t="s">
        <v>44</v>
      </c>
      <c r="O603" s="7"/>
      <c r="P603" s="8" t="s">
        <v>39</v>
      </c>
      <c r="Q603">
        <v>7.32</v>
      </c>
      <c r="R603">
        <v>18.399999999999999</v>
      </c>
      <c r="S603" t="s">
        <v>53</v>
      </c>
      <c r="T603">
        <v>18</v>
      </c>
      <c r="U603">
        <f t="shared" si="45"/>
        <v>131.76</v>
      </c>
      <c r="V603">
        <v>1.1499999999999999</v>
      </c>
      <c r="W603">
        <v>50</v>
      </c>
      <c r="X603">
        <v>0.35</v>
      </c>
      <c r="Y603">
        <f t="shared" si="46"/>
        <v>17.5</v>
      </c>
      <c r="Z603">
        <f t="shared" si="47"/>
        <v>151.52399999999997</v>
      </c>
      <c r="AA603">
        <f t="shared" si="48"/>
        <v>134.02399999999997</v>
      </c>
      <c r="AB603">
        <f t="shared" si="49"/>
        <v>3000.7973599999996</v>
      </c>
    </row>
    <row r="604" spans="1:28" ht="25.5" x14ac:dyDescent="0.25">
      <c r="A604" s="7">
        <v>603</v>
      </c>
      <c r="B604" s="7" t="s">
        <v>15</v>
      </c>
      <c r="C604" s="7" t="s">
        <v>45</v>
      </c>
      <c r="D604" s="7" t="s">
        <v>700</v>
      </c>
      <c r="E604" s="7"/>
      <c r="F604" s="8"/>
      <c r="G604" s="7" t="s">
        <v>700</v>
      </c>
      <c r="H604" s="9">
        <v>36.635865000000003</v>
      </c>
      <c r="I604" s="9">
        <v>10.30105</v>
      </c>
      <c r="J604" s="7" t="s">
        <v>47</v>
      </c>
      <c r="K604" s="7" t="s">
        <v>37</v>
      </c>
      <c r="L604" s="7"/>
      <c r="M604" s="10">
        <v>16.88</v>
      </c>
      <c r="N604" s="7" t="s">
        <v>48</v>
      </c>
      <c r="O604" s="7"/>
      <c r="P604" s="8" t="s">
        <v>39</v>
      </c>
      <c r="Q604">
        <v>5.04</v>
      </c>
      <c r="R604">
        <v>15.2</v>
      </c>
      <c r="S604" t="s">
        <v>53</v>
      </c>
      <c r="T604">
        <v>16</v>
      </c>
      <c r="U604">
        <f t="shared" si="45"/>
        <v>80.64</v>
      </c>
      <c r="V604">
        <v>1.03</v>
      </c>
      <c r="W604">
        <v>50</v>
      </c>
      <c r="X604">
        <v>0.35</v>
      </c>
      <c r="Y604">
        <f t="shared" si="46"/>
        <v>17.5</v>
      </c>
      <c r="Z604">
        <f t="shared" si="47"/>
        <v>83.059200000000004</v>
      </c>
      <c r="AA604">
        <f t="shared" si="48"/>
        <v>65.559200000000004</v>
      </c>
      <c r="AB604">
        <f t="shared" si="49"/>
        <v>1106.6392960000001</v>
      </c>
    </row>
    <row r="605" spans="1:28" ht="25.5" x14ac:dyDescent="0.25">
      <c r="A605" s="7">
        <v>604</v>
      </c>
      <c r="B605" s="7" t="s">
        <v>15</v>
      </c>
      <c r="C605" s="7" t="s">
        <v>49</v>
      </c>
      <c r="D605" s="7" t="s">
        <v>701</v>
      </c>
      <c r="E605" s="7"/>
      <c r="F605" s="8"/>
      <c r="G605" s="7" t="s">
        <v>701</v>
      </c>
      <c r="H605" s="9">
        <v>37.131565000000002</v>
      </c>
      <c r="I605" s="9">
        <v>9.7797160000000005</v>
      </c>
      <c r="J605" s="7" t="s">
        <v>51</v>
      </c>
      <c r="K605" s="7" t="s">
        <v>37</v>
      </c>
      <c r="L605" s="7"/>
      <c r="M605" s="10">
        <v>7.93</v>
      </c>
      <c r="N605" s="7" t="s">
        <v>52</v>
      </c>
      <c r="O605" s="7"/>
      <c r="P605" s="8" t="s">
        <v>39</v>
      </c>
      <c r="Q605">
        <v>6.95</v>
      </c>
      <c r="R605">
        <v>22.8</v>
      </c>
      <c r="S605" t="s">
        <v>53</v>
      </c>
      <c r="T605">
        <v>12</v>
      </c>
      <c r="U605">
        <f t="shared" si="45"/>
        <v>83.4</v>
      </c>
      <c r="V605">
        <v>1.26</v>
      </c>
      <c r="W605">
        <v>160</v>
      </c>
      <c r="X605">
        <v>0.35</v>
      </c>
      <c r="Y605">
        <f t="shared" si="46"/>
        <v>56</v>
      </c>
      <c r="Z605">
        <f t="shared" si="47"/>
        <v>105.084</v>
      </c>
      <c r="AA605">
        <f t="shared" si="48"/>
        <v>49.084000000000003</v>
      </c>
      <c r="AB605">
        <f t="shared" si="49"/>
        <v>389.23612000000003</v>
      </c>
    </row>
    <row r="606" spans="1:28" ht="25.5" x14ac:dyDescent="0.25">
      <c r="A606" s="7">
        <v>605</v>
      </c>
      <c r="B606" s="7" t="s">
        <v>15</v>
      </c>
      <c r="C606" s="7" t="s">
        <v>54</v>
      </c>
      <c r="D606" s="7" t="s">
        <v>702</v>
      </c>
      <c r="E606" s="7"/>
      <c r="F606" s="8"/>
      <c r="G606" s="7" t="s">
        <v>702</v>
      </c>
      <c r="H606" s="9">
        <v>33.611620000000002</v>
      </c>
      <c r="I606" s="9">
        <v>10.259192000000001</v>
      </c>
      <c r="J606" s="7" t="s">
        <v>56</v>
      </c>
      <c r="K606" s="7" t="s">
        <v>37</v>
      </c>
      <c r="L606" s="7"/>
      <c r="M606" s="10">
        <v>18.440000000000001</v>
      </c>
      <c r="N606" s="7" t="s">
        <v>57</v>
      </c>
      <c r="O606" s="7"/>
      <c r="P606" s="8" t="s">
        <v>39</v>
      </c>
      <c r="Q606">
        <v>5.88</v>
      </c>
      <c r="R606">
        <v>40.299999999999997</v>
      </c>
      <c r="S606" t="s">
        <v>40</v>
      </c>
      <c r="T606">
        <v>8</v>
      </c>
      <c r="U606">
        <f t="shared" si="45"/>
        <v>47.04</v>
      </c>
      <c r="V606">
        <v>0.72</v>
      </c>
      <c r="W606">
        <v>80</v>
      </c>
      <c r="X606">
        <v>0.35</v>
      </c>
      <c r="Y606">
        <f t="shared" si="46"/>
        <v>28</v>
      </c>
      <c r="Z606">
        <f t="shared" si="47"/>
        <v>33.8688</v>
      </c>
      <c r="AA606">
        <f t="shared" si="48"/>
        <v>5.8688000000000002</v>
      </c>
      <c r="AB606">
        <f t="shared" si="49"/>
        <v>108.22067200000001</v>
      </c>
    </row>
    <row r="607" spans="1:28" ht="25.5" x14ac:dyDescent="0.25">
      <c r="A607" s="7">
        <v>606</v>
      </c>
      <c r="B607" s="7" t="s">
        <v>15</v>
      </c>
      <c r="C607" s="7" t="s">
        <v>59</v>
      </c>
      <c r="D607" s="7" t="s">
        <v>703</v>
      </c>
      <c r="E607" s="7"/>
      <c r="F607" s="8"/>
      <c r="G607" s="7" t="s">
        <v>703</v>
      </c>
      <c r="H607" s="9">
        <v>34.322042000000003</v>
      </c>
      <c r="I607" s="9">
        <v>8.4144179999999995</v>
      </c>
      <c r="J607" s="7" t="s">
        <v>61</v>
      </c>
      <c r="K607" s="7" t="s">
        <v>37</v>
      </c>
      <c r="L607" s="7"/>
      <c r="M607" s="10">
        <v>0.84</v>
      </c>
      <c r="N607" s="7" t="s">
        <v>62</v>
      </c>
      <c r="O607" s="7"/>
      <c r="P607" s="8" t="s">
        <v>39</v>
      </c>
      <c r="Q607">
        <v>6.63</v>
      </c>
      <c r="R607">
        <v>36</v>
      </c>
      <c r="S607" t="s">
        <v>40</v>
      </c>
      <c r="T607">
        <v>7</v>
      </c>
      <c r="U607">
        <f t="shared" si="45"/>
        <v>46.41</v>
      </c>
      <c r="V607">
        <v>0.66</v>
      </c>
      <c r="W607">
        <v>80</v>
      </c>
      <c r="X607">
        <v>0.35</v>
      </c>
      <c r="Y607">
        <f t="shared" si="46"/>
        <v>28</v>
      </c>
      <c r="Z607">
        <f t="shared" si="47"/>
        <v>30.630599999999998</v>
      </c>
      <c r="AA607">
        <f t="shared" si="48"/>
        <v>2.6305999999999976</v>
      </c>
      <c r="AB607">
        <f t="shared" si="49"/>
        <v>2.2097039999999981</v>
      </c>
    </row>
    <row r="608" spans="1:28" ht="25.5" x14ac:dyDescent="0.25">
      <c r="A608" s="7">
        <v>607</v>
      </c>
      <c r="B608" s="7" t="s">
        <v>15</v>
      </c>
      <c r="C608" s="7" t="s">
        <v>63</v>
      </c>
      <c r="D608" s="7" t="s">
        <v>704</v>
      </c>
      <c r="E608" s="7"/>
      <c r="F608" s="8"/>
      <c r="G608" s="7" t="s">
        <v>704</v>
      </c>
      <c r="H608" s="9">
        <v>36.937911999999997</v>
      </c>
      <c r="I608" s="9">
        <v>8.7671329999999994</v>
      </c>
      <c r="J608" s="7" t="s">
        <v>65</v>
      </c>
      <c r="K608" s="7" t="s">
        <v>37</v>
      </c>
      <c r="L608" s="7"/>
      <c r="M608" s="10">
        <v>17.690000000000001</v>
      </c>
      <c r="N608" s="7" t="s">
        <v>66</v>
      </c>
      <c r="O608" s="7"/>
      <c r="P608" s="8" t="s">
        <v>39</v>
      </c>
      <c r="Q608">
        <v>2.93</v>
      </c>
      <c r="R608">
        <v>31.5</v>
      </c>
      <c r="S608" t="s">
        <v>58</v>
      </c>
      <c r="T608">
        <v>10</v>
      </c>
      <c r="U608">
        <f t="shared" si="45"/>
        <v>29.3</v>
      </c>
      <c r="V608">
        <v>0.72</v>
      </c>
      <c r="W608">
        <v>80</v>
      </c>
      <c r="X608">
        <v>0.35</v>
      </c>
      <c r="Y608">
        <f t="shared" si="46"/>
        <v>28</v>
      </c>
      <c r="Z608">
        <f t="shared" si="47"/>
        <v>21.096</v>
      </c>
      <c r="AA608">
        <f t="shared" si="48"/>
        <v>0</v>
      </c>
      <c r="AB608">
        <f t="shared" si="49"/>
        <v>0</v>
      </c>
    </row>
    <row r="609" spans="1:28" ht="25.5" x14ac:dyDescent="0.25">
      <c r="A609" s="7">
        <v>608</v>
      </c>
      <c r="B609" s="7" t="s">
        <v>15</v>
      </c>
      <c r="C609" s="7" t="s">
        <v>67</v>
      </c>
      <c r="D609" s="7" t="s">
        <v>705</v>
      </c>
      <c r="E609" s="7"/>
      <c r="F609" s="8"/>
      <c r="G609" s="7" t="s">
        <v>705</v>
      </c>
      <c r="H609" s="9">
        <v>35.632216999999997</v>
      </c>
      <c r="I609" s="9">
        <v>9.8954199999999997</v>
      </c>
      <c r="J609" s="7" t="s">
        <v>69</v>
      </c>
      <c r="K609" s="7" t="s">
        <v>37</v>
      </c>
      <c r="L609" s="7"/>
      <c r="M609" s="10">
        <v>7.11</v>
      </c>
      <c r="N609" s="7" t="s">
        <v>70</v>
      </c>
      <c r="O609" s="7"/>
      <c r="P609" s="8" t="s">
        <v>39</v>
      </c>
      <c r="Q609">
        <v>2.67</v>
      </c>
      <c r="R609">
        <v>17.399999999999999</v>
      </c>
      <c r="S609" t="s">
        <v>53</v>
      </c>
      <c r="T609">
        <v>9</v>
      </c>
      <c r="U609">
        <f t="shared" si="45"/>
        <v>24.03</v>
      </c>
      <c r="V609">
        <v>1.03</v>
      </c>
      <c r="W609">
        <v>80</v>
      </c>
      <c r="X609">
        <v>0.35</v>
      </c>
      <c r="Y609">
        <f t="shared" si="46"/>
        <v>28</v>
      </c>
      <c r="Z609">
        <f t="shared" si="47"/>
        <v>24.750900000000001</v>
      </c>
      <c r="AA609">
        <f t="shared" si="48"/>
        <v>0</v>
      </c>
      <c r="AB609">
        <f t="shared" si="49"/>
        <v>0</v>
      </c>
    </row>
    <row r="610" spans="1:28" ht="25.5" x14ac:dyDescent="0.25">
      <c r="A610" s="7">
        <v>609</v>
      </c>
      <c r="B610" s="7" t="s">
        <v>15</v>
      </c>
      <c r="C610" s="7" t="s">
        <v>71</v>
      </c>
      <c r="D610" s="7" t="s">
        <v>706</v>
      </c>
      <c r="E610" s="7"/>
      <c r="F610" s="8"/>
      <c r="G610" s="7" t="s">
        <v>706</v>
      </c>
      <c r="H610" s="9">
        <v>35.212831999999999</v>
      </c>
      <c r="I610" s="9">
        <v>9.1332939999999994</v>
      </c>
      <c r="J610" s="7" t="s">
        <v>73</v>
      </c>
      <c r="K610" s="7" t="s">
        <v>37</v>
      </c>
      <c r="L610" s="7"/>
      <c r="M610" s="10">
        <v>24.64</v>
      </c>
      <c r="N610" s="7" t="s">
        <v>74</v>
      </c>
      <c r="O610" s="7"/>
      <c r="P610" s="8" t="s">
        <v>39</v>
      </c>
      <c r="Q610">
        <v>4.7300000000000004</v>
      </c>
      <c r="R610">
        <v>27.8</v>
      </c>
      <c r="S610" t="s">
        <v>58</v>
      </c>
      <c r="T610">
        <v>10</v>
      </c>
      <c r="U610">
        <f t="shared" si="45"/>
        <v>47.300000000000004</v>
      </c>
      <c r="V610">
        <v>0.81</v>
      </c>
      <c r="W610">
        <v>160</v>
      </c>
      <c r="X610">
        <v>0.35</v>
      </c>
      <c r="Y610">
        <f t="shared" si="46"/>
        <v>56</v>
      </c>
      <c r="Z610">
        <f t="shared" si="47"/>
        <v>38.313000000000009</v>
      </c>
      <c r="AA610">
        <f t="shared" si="48"/>
        <v>0</v>
      </c>
      <c r="AB610">
        <f t="shared" si="49"/>
        <v>0</v>
      </c>
    </row>
    <row r="611" spans="1:28" ht="25.5" x14ac:dyDescent="0.25">
      <c r="A611" s="7">
        <v>610</v>
      </c>
      <c r="B611" s="7" t="s">
        <v>15</v>
      </c>
      <c r="C611" s="7" t="s">
        <v>75</v>
      </c>
      <c r="D611" s="7" t="s">
        <v>707</v>
      </c>
      <c r="E611" s="7"/>
      <c r="F611" s="8"/>
      <c r="G611" s="7" t="s">
        <v>707</v>
      </c>
      <c r="H611" s="9">
        <v>33.470807999999998</v>
      </c>
      <c r="I611" s="9">
        <v>9.0384039999999999</v>
      </c>
      <c r="J611" s="7" t="s">
        <v>77</v>
      </c>
      <c r="K611" s="7" t="s">
        <v>37</v>
      </c>
      <c r="L611" s="7"/>
      <c r="M611" s="10">
        <v>21.54</v>
      </c>
      <c r="N611" s="7" t="s">
        <v>78</v>
      </c>
      <c r="O611" s="7"/>
      <c r="P611" s="8" t="s">
        <v>39</v>
      </c>
      <c r="Q611">
        <v>1.85</v>
      </c>
      <c r="R611">
        <v>41.4</v>
      </c>
      <c r="S611" t="s">
        <v>40</v>
      </c>
      <c r="T611">
        <v>14</v>
      </c>
      <c r="U611">
        <f t="shared" si="45"/>
        <v>25.900000000000002</v>
      </c>
      <c r="V611">
        <v>0.6</v>
      </c>
      <c r="W611">
        <v>0</v>
      </c>
      <c r="X611">
        <v>0</v>
      </c>
      <c r="Y611">
        <f t="shared" si="46"/>
        <v>0</v>
      </c>
      <c r="Z611">
        <f t="shared" si="47"/>
        <v>15.540000000000001</v>
      </c>
      <c r="AA611">
        <f t="shared" si="48"/>
        <v>15.540000000000001</v>
      </c>
      <c r="AB611">
        <f t="shared" si="49"/>
        <v>334.73160000000001</v>
      </c>
    </row>
    <row r="612" spans="1:28" ht="25.5" x14ac:dyDescent="0.25">
      <c r="A612" s="7">
        <v>611</v>
      </c>
      <c r="B612" s="7" t="s">
        <v>15</v>
      </c>
      <c r="C612" s="7" t="s">
        <v>79</v>
      </c>
      <c r="D612" s="7" t="s">
        <v>708</v>
      </c>
      <c r="E612" s="7"/>
      <c r="F612" s="8"/>
      <c r="G612" s="7" t="s">
        <v>708</v>
      </c>
      <c r="H612" s="9">
        <v>35.919780000000003</v>
      </c>
      <c r="I612" s="9">
        <v>8.8219309999999993</v>
      </c>
      <c r="J612" s="7" t="s">
        <v>81</v>
      </c>
      <c r="K612" s="7" t="s">
        <v>37</v>
      </c>
      <c r="L612" s="7"/>
      <c r="M612" s="10">
        <v>6.24</v>
      </c>
      <c r="N612" s="7" t="s">
        <v>38</v>
      </c>
      <c r="O612" s="7"/>
      <c r="P612" s="8" t="s">
        <v>39</v>
      </c>
      <c r="Q612">
        <v>5.28</v>
      </c>
      <c r="R612">
        <v>15.2</v>
      </c>
      <c r="S612" t="s">
        <v>53</v>
      </c>
      <c r="T612">
        <v>18</v>
      </c>
      <c r="U612">
        <f t="shared" si="45"/>
        <v>95.04</v>
      </c>
      <c r="V612">
        <v>1.1499999999999999</v>
      </c>
      <c r="W612">
        <v>120</v>
      </c>
      <c r="X612">
        <v>0.35</v>
      </c>
      <c r="Y612">
        <f t="shared" si="46"/>
        <v>42</v>
      </c>
      <c r="Z612">
        <f t="shared" si="47"/>
        <v>109.29599999999999</v>
      </c>
      <c r="AA612">
        <f t="shared" si="48"/>
        <v>67.295999999999992</v>
      </c>
      <c r="AB612">
        <f t="shared" si="49"/>
        <v>419.92703999999998</v>
      </c>
    </row>
    <row r="613" spans="1:28" ht="25.5" x14ac:dyDescent="0.25">
      <c r="A613" s="7">
        <v>612</v>
      </c>
      <c r="B613" s="7" t="s">
        <v>15</v>
      </c>
      <c r="C613" s="7" t="s">
        <v>82</v>
      </c>
      <c r="D613" s="7" t="s">
        <v>709</v>
      </c>
      <c r="E613" s="7"/>
      <c r="F613" s="8"/>
      <c r="G613" s="7" t="s">
        <v>709</v>
      </c>
      <c r="H613" s="9">
        <v>35.215023000000002</v>
      </c>
      <c r="I613" s="9">
        <v>11.095420000000001</v>
      </c>
      <c r="J613" s="7" t="s">
        <v>84</v>
      </c>
      <c r="K613" s="7" t="s">
        <v>37</v>
      </c>
      <c r="L613" s="7"/>
      <c r="M613" s="10">
        <v>7.65</v>
      </c>
      <c r="N613" s="7" t="s">
        <v>44</v>
      </c>
      <c r="O613" s="7"/>
      <c r="P613" s="8" t="s">
        <v>39</v>
      </c>
      <c r="Q613">
        <v>6.78</v>
      </c>
      <c r="R613">
        <v>22</v>
      </c>
      <c r="S613" t="s">
        <v>53</v>
      </c>
      <c r="T613">
        <v>18</v>
      </c>
      <c r="U613">
        <f t="shared" si="45"/>
        <v>122.04</v>
      </c>
      <c r="V613">
        <v>1.1499999999999999</v>
      </c>
      <c r="W613">
        <v>0</v>
      </c>
      <c r="X613">
        <v>0</v>
      </c>
      <c r="Y613">
        <f t="shared" si="46"/>
        <v>0</v>
      </c>
      <c r="Z613">
        <f t="shared" si="47"/>
        <v>140.346</v>
      </c>
      <c r="AA613">
        <f t="shared" si="48"/>
        <v>140.346</v>
      </c>
      <c r="AB613">
        <f t="shared" si="49"/>
        <v>1073.6469000000002</v>
      </c>
    </row>
    <row r="614" spans="1:28" ht="25.5" x14ac:dyDescent="0.25">
      <c r="A614" s="7">
        <v>613</v>
      </c>
      <c r="B614" s="7" t="s">
        <v>15</v>
      </c>
      <c r="C614" s="7" t="s">
        <v>85</v>
      </c>
      <c r="D614" s="7" t="s">
        <v>710</v>
      </c>
      <c r="E614" s="7"/>
      <c r="F614" s="8"/>
      <c r="G614" s="7" t="s">
        <v>710</v>
      </c>
      <c r="H614" s="9">
        <v>36.852328</v>
      </c>
      <c r="I614" s="9">
        <v>9.863861</v>
      </c>
      <c r="J614" s="7" t="s">
        <v>87</v>
      </c>
      <c r="K614" s="7" t="s">
        <v>37</v>
      </c>
      <c r="L614" s="7"/>
      <c r="M614" s="10">
        <v>9.43</v>
      </c>
      <c r="N614" s="7" t="s">
        <v>48</v>
      </c>
      <c r="O614" s="7"/>
      <c r="P614" s="8" t="s">
        <v>39</v>
      </c>
      <c r="Q614">
        <v>7.92</v>
      </c>
      <c r="R614">
        <v>34.9</v>
      </c>
      <c r="S614" t="s">
        <v>58</v>
      </c>
      <c r="T614">
        <v>16</v>
      </c>
      <c r="U614">
        <f t="shared" si="45"/>
        <v>126.72</v>
      </c>
      <c r="V614">
        <v>0.81</v>
      </c>
      <c r="W614">
        <v>120</v>
      </c>
      <c r="X614">
        <v>0.35</v>
      </c>
      <c r="Y614">
        <f t="shared" si="46"/>
        <v>42</v>
      </c>
      <c r="Z614">
        <f t="shared" si="47"/>
        <v>102.64320000000001</v>
      </c>
      <c r="AA614">
        <f t="shared" si="48"/>
        <v>60.643200000000007</v>
      </c>
      <c r="AB614">
        <f t="shared" si="49"/>
        <v>571.86537600000008</v>
      </c>
    </row>
    <row r="615" spans="1:28" ht="25.5" x14ac:dyDescent="0.25">
      <c r="A615" s="7">
        <v>614</v>
      </c>
      <c r="B615" s="7" t="s">
        <v>15</v>
      </c>
      <c r="C615" s="7" t="s">
        <v>88</v>
      </c>
      <c r="D615" s="7" t="s">
        <v>711</v>
      </c>
      <c r="E615" s="7"/>
      <c r="F615" s="8"/>
      <c r="G615" s="7" t="s">
        <v>711</v>
      </c>
      <c r="H615" s="9">
        <v>33.802052000000003</v>
      </c>
      <c r="I615" s="9">
        <v>10.98747</v>
      </c>
      <c r="J615" s="7" t="s">
        <v>90</v>
      </c>
      <c r="K615" s="7" t="s">
        <v>37</v>
      </c>
      <c r="L615" s="7"/>
      <c r="M615" s="10">
        <v>13.07</v>
      </c>
      <c r="N615" s="7" t="s">
        <v>52</v>
      </c>
      <c r="O615" s="7"/>
      <c r="P615" s="8" t="s">
        <v>39</v>
      </c>
      <c r="Q615">
        <v>6.4</v>
      </c>
      <c r="R615">
        <v>39.700000000000003</v>
      </c>
      <c r="S615" t="s">
        <v>40</v>
      </c>
      <c r="T615">
        <v>12</v>
      </c>
      <c r="U615">
        <f t="shared" si="45"/>
        <v>76.800000000000011</v>
      </c>
      <c r="V615">
        <v>0.66</v>
      </c>
      <c r="W615">
        <v>120</v>
      </c>
      <c r="X615">
        <v>0.35</v>
      </c>
      <c r="Y615">
        <f t="shared" si="46"/>
        <v>42</v>
      </c>
      <c r="Z615">
        <f t="shared" si="47"/>
        <v>50.688000000000009</v>
      </c>
      <c r="AA615">
        <f t="shared" si="48"/>
        <v>8.6880000000000095</v>
      </c>
      <c r="AB615">
        <f t="shared" si="49"/>
        <v>113.55216000000013</v>
      </c>
    </row>
    <row r="616" spans="1:28" ht="25.5" x14ac:dyDescent="0.25">
      <c r="A616" s="7">
        <v>615</v>
      </c>
      <c r="B616" s="7" t="s">
        <v>15</v>
      </c>
      <c r="C616" s="7" t="s">
        <v>92</v>
      </c>
      <c r="D616" s="7" t="s">
        <v>712</v>
      </c>
      <c r="E616" s="7"/>
      <c r="F616" s="8"/>
      <c r="G616" s="7" t="s">
        <v>712</v>
      </c>
      <c r="H616" s="9">
        <v>35.627436000000003</v>
      </c>
      <c r="I616" s="9">
        <v>10.726107000000001</v>
      </c>
      <c r="J616" s="7" t="s">
        <v>94</v>
      </c>
      <c r="K616" s="7" t="s">
        <v>37</v>
      </c>
      <c r="L616" s="7"/>
      <c r="M616" s="10">
        <v>1.1000000000000001</v>
      </c>
      <c r="N616" s="7" t="s">
        <v>57</v>
      </c>
      <c r="O616" s="7"/>
      <c r="P616" s="8" t="s">
        <v>39</v>
      </c>
      <c r="Q616">
        <v>1.91</v>
      </c>
      <c r="R616">
        <v>32.299999999999997</v>
      </c>
      <c r="S616" t="s">
        <v>58</v>
      </c>
      <c r="T616">
        <v>8</v>
      </c>
      <c r="U616">
        <f t="shared" si="45"/>
        <v>15.28</v>
      </c>
      <c r="V616">
        <v>1.08</v>
      </c>
      <c r="W616">
        <v>50</v>
      </c>
      <c r="X616">
        <v>0.35</v>
      </c>
      <c r="Y616">
        <f t="shared" si="46"/>
        <v>17.5</v>
      </c>
      <c r="Z616">
        <f t="shared" si="47"/>
        <v>16.502400000000002</v>
      </c>
      <c r="AA616">
        <f t="shared" si="48"/>
        <v>0</v>
      </c>
      <c r="AB616">
        <f t="shared" si="49"/>
        <v>0</v>
      </c>
    </row>
    <row r="617" spans="1:28" ht="25.5" x14ac:dyDescent="0.25">
      <c r="A617" s="7">
        <v>616</v>
      </c>
      <c r="B617" s="7" t="s">
        <v>15</v>
      </c>
      <c r="C617" s="7" t="s">
        <v>95</v>
      </c>
      <c r="D617" s="7" t="s">
        <v>713</v>
      </c>
      <c r="E617" s="7"/>
      <c r="F617" s="8"/>
      <c r="G617" s="7" t="s">
        <v>713</v>
      </c>
      <c r="H617" s="9">
        <v>36.562105000000003</v>
      </c>
      <c r="I617" s="9">
        <v>10.857555</v>
      </c>
      <c r="J617" s="7" t="s">
        <v>97</v>
      </c>
      <c r="K617" s="7" t="s">
        <v>37</v>
      </c>
      <c r="L617" s="7"/>
      <c r="M617" s="10">
        <v>19.489999999999998</v>
      </c>
      <c r="N617" s="7" t="s">
        <v>62</v>
      </c>
      <c r="O617" s="7"/>
      <c r="P617" s="8" t="s">
        <v>39</v>
      </c>
      <c r="Q617">
        <v>2.68</v>
      </c>
      <c r="R617">
        <v>21.2</v>
      </c>
      <c r="S617" t="s">
        <v>53</v>
      </c>
      <c r="T617">
        <v>7</v>
      </c>
      <c r="U617">
        <f t="shared" si="45"/>
        <v>18.760000000000002</v>
      </c>
      <c r="V617">
        <v>1.26</v>
      </c>
      <c r="W617">
        <v>0</v>
      </c>
      <c r="X617">
        <v>0</v>
      </c>
      <c r="Y617">
        <f t="shared" si="46"/>
        <v>0</v>
      </c>
      <c r="Z617">
        <f t="shared" si="47"/>
        <v>23.637600000000003</v>
      </c>
      <c r="AA617">
        <f t="shared" si="48"/>
        <v>23.637600000000003</v>
      </c>
      <c r="AB617">
        <f t="shared" si="49"/>
        <v>460.69682399999999</v>
      </c>
    </row>
    <row r="618" spans="1:28" ht="25.5" x14ac:dyDescent="0.25">
      <c r="A618" s="7">
        <v>617</v>
      </c>
      <c r="B618" s="7" t="s">
        <v>15</v>
      </c>
      <c r="C618" s="7" t="s">
        <v>98</v>
      </c>
      <c r="D618" s="7" t="s">
        <v>714</v>
      </c>
      <c r="E618" s="7"/>
      <c r="F618" s="8"/>
      <c r="G618" s="7" t="s">
        <v>714</v>
      </c>
      <c r="H618" s="9">
        <v>34.770789000000001</v>
      </c>
      <c r="I618" s="9">
        <v>10.515321</v>
      </c>
      <c r="J618" s="7" t="s">
        <v>100</v>
      </c>
      <c r="K618" s="7" t="s">
        <v>37</v>
      </c>
      <c r="L618" s="7"/>
      <c r="M618" s="10">
        <v>19.05</v>
      </c>
      <c r="N618" s="7" t="s">
        <v>66</v>
      </c>
      <c r="O618" s="7"/>
      <c r="P618" s="8" t="s">
        <v>39</v>
      </c>
      <c r="Q618">
        <v>4.32</v>
      </c>
      <c r="R618">
        <v>39.9</v>
      </c>
      <c r="S618" t="s">
        <v>40</v>
      </c>
      <c r="T618">
        <v>10</v>
      </c>
      <c r="U618">
        <f t="shared" si="45"/>
        <v>43.2</v>
      </c>
      <c r="V618">
        <v>0.48</v>
      </c>
      <c r="W618">
        <v>0</v>
      </c>
      <c r="X618">
        <v>0</v>
      </c>
      <c r="Y618">
        <f t="shared" si="46"/>
        <v>0</v>
      </c>
      <c r="Z618">
        <f t="shared" si="47"/>
        <v>20.736000000000001</v>
      </c>
      <c r="AA618">
        <f t="shared" si="48"/>
        <v>20.736000000000001</v>
      </c>
      <c r="AB618">
        <f t="shared" si="49"/>
        <v>395.02080000000001</v>
      </c>
    </row>
    <row r="619" spans="1:28" ht="25.5" x14ac:dyDescent="0.25">
      <c r="A619" s="7">
        <v>618</v>
      </c>
      <c r="B619" s="7" t="s">
        <v>15</v>
      </c>
      <c r="C619" s="7" t="s">
        <v>101</v>
      </c>
      <c r="D619" s="7" t="s">
        <v>715</v>
      </c>
      <c r="E619" s="7"/>
      <c r="F619" s="8"/>
      <c r="G619" s="7" t="s">
        <v>715</v>
      </c>
      <c r="H619" s="9">
        <v>34.939940999999997</v>
      </c>
      <c r="I619" s="9">
        <v>9.763045</v>
      </c>
      <c r="J619" s="7" t="s">
        <v>103</v>
      </c>
      <c r="K619" s="7" t="s">
        <v>37</v>
      </c>
      <c r="L619" s="7"/>
      <c r="M619" s="10">
        <v>6.85</v>
      </c>
      <c r="N619" s="7" t="s">
        <v>70</v>
      </c>
      <c r="O619" s="7"/>
      <c r="P619" s="8" t="s">
        <v>39</v>
      </c>
      <c r="Q619">
        <v>2.35</v>
      </c>
      <c r="R619">
        <v>42.5</v>
      </c>
      <c r="S619" t="s">
        <v>40</v>
      </c>
      <c r="T619">
        <v>9</v>
      </c>
      <c r="U619">
        <f t="shared" si="45"/>
        <v>21.150000000000002</v>
      </c>
      <c r="V619">
        <v>0.54</v>
      </c>
      <c r="W619">
        <v>120</v>
      </c>
      <c r="X619">
        <v>0.35</v>
      </c>
      <c r="Y619">
        <f t="shared" si="46"/>
        <v>42</v>
      </c>
      <c r="Z619">
        <f t="shared" si="47"/>
        <v>11.421000000000001</v>
      </c>
      <c r="AA619">
        <f t="shared" si="48"/>
        <v>0</v>
      </c>
      <c r="AB619">
        <f t="shared" si="49"/>
        <v>0</v>
      </c>
    </row>
    <row r="620" spans="1:28" ht="25.5" x14ac:dyDescent="0.25">
      <c r="A620" s="7">
        <v>619</v>
      </c>
      <c r="B620" s="7" t="s">
        <v>15</v>
      </c>
      <c r="C620" s="7" t="s">
        <v>104</v>
      </c>
      <c r="D620" s="7" t="s">
        <v>716</v>
      </c>
      <c r="E620" s="7"/>
      <c r="F620" s="8"/>
      <c r="G620" s="7" t="s">
        <v>716</v>
      </c>
      <c r="H620" s="9">
        <v>35.826265999999997</v>
      </c>
      <c r="I620" s="9">
        <v>9.1782690000000002</v>
      </c>
      <c r="J620" s="7" t="s">
        <v>106</v>
      </c>
      <c r="K620" s="7" t="s">
        <v>37</v>
      </c>
      <c r="L620" s="7"/>
      <c r="M620" s="10">
        <v>2.61</v>
      </c>
      <c r="N620" s="7" t="s">
        <v>74</v>
      </c>
      <c r="O620" s="7"/>
      <c r="P620" s="8" t="s">
        <v>39</v>
      </c>
      <c r="Q620">
        <v>5.1100000000000003</v>
      </c>
      <c r="R620">
        <v>25.1</v>
      </c>
      <c r="S620" t="s">
        <v>58</v>
      </c>
      <c r="T620">
        <v>10</v>
      </c>
      <c r="U620">
        <f t="shared" si="45"/>
        <v>51.1</v>
      </c>
      <c r="V620">
        <v>0.81</v>
      </c>
      <c r="W620">
        <v>0</v>
      </c>
      <c r="X620">
        <v>0</v>
      </c>
      <c r="Y620">
        <f t="shared" si="46"/>
        <v>0</v>
      </c>
      <c r="Z620">
        <f t="shared" si="47"/>
        <v>41.391000000000005</v>
      </c>
      <c r="AA620">
        <f t="shared" si="48"/>
        <v>41.391000000000005</v>
      </c>
      <c r="AB620">
        <f t="shared" si="49"/>
        <v>108.03051000000001</v>
      </c>
    </row>
    <row r="621" spans="1:28" ht="25.5" x14ac:dyDescent="0.25">
      <c r="A621" s="7">
        <v>620</v>
      </c>
      <c r="B621" s="7" t="s">
        <v>15</v>
      </c>
      <c r="C621" s="7" t="s">
        <v>107</v>
      </c>
      <c r="D621" s="7" t="s">
        <v>717</v>
      </c>
      <c r="E621" s="7"/>
      <c r="F621" s="8"/>
      <c r="G621" s="7" t="s">
        <v>717</v>
      </c>
      <c r="H621" s="9">
        <v>36.133946999999999</v>
      </c>
      <c r="I621" s="9">
        <v>10.392442000000001</v>
      </c>
      <c r="J621" s="7" t="s">
        <v>109</v>
      </c>
      <c r="K621" s="7" t="s">
        <v>37</v>
      </c>
      <c r="L621" s="7"/>
      <c r="M621" s="10">
        <v>15.4</v>
      </c>
      <c r="N621" s="7" t="s">
        <v>78</v>
      </c>
      <c r="O621" s="7"/>
      <c r="P621" s="8" t="s">
        <v>39</v>
      </c>
      <c r="Q621">
        <v>7.34</v>
      </c>
      <c r="R621">
        <v>20.5</v>
      </c>
      <c r="S621" t="s">
        <v>53</v>
      </c>
      <c r="T621">
        <v>14</v>
      </c>
      <c r="U621">
        <f t="shared" si="45"/>
        <v>102.75999999999999</v>
      </c>
      <c r="V621">
        <v>1.1499999999999999</v>
      </c>
      <c r="W621">
        <v>0</v>
      </c>
      <c r="X621">
        <v>0</v>
      </c>
      <c r="Y621">
        <f t="shared" si="46"/>
        <v>0</v>
      </c>
      <c r="Z621">
        <f t="shared" si="47"/>
        <v>118.17399999999998</v>
      </c>
      <c r="AA621">
        <f t="shared" si="48"/>
        <v>118.17399999999998</v>
      </c>
      <c r="AB621">
        <f t="shared" si="49"/>
        <v>1819.8795999999998</v>
      </c>
    </row>
    <row r="622" spans="1:28" ht="25.5" x14ac:dyDescent="0.25">
      <c r="A622" s="7">
        <v>621</v>
      </c>
      <c r="B622" s="7" t="s">
        <v>15</v>
      </c>
      <c r="C622" s="7" t="s">
        <v>110</v>
      </c>
      <c r="D622" s="7" t="s">
        <v>718</v>
      </c>
      <c r="E622" s="7"/>
      <c r="F622" s="8"/>
      <c r="G622" s="7" t="s">
        <v>718</v>
      </c>
      <c r="H622" s="9">
        <v>33.158085999999997</v>
      </c>
      <c r="I622" s="9">
        <v>10.232173</v>
      </c>
      <c r="J622" s="7" t="s">
        <v>112</v>
      </c>
      <c r="K622" s="7" t="s">
        <v>37</v>
      </c>
      <c r="L622" s="7"/>
      <c r="M622" s="10">
        <v>17.16</v>
      </c>
      <c r="N622" s="7" t="s">
        <v>38</v>
      </c>
      <c r="O622" s="7"/>
      <c r="P622" s="8" t="s">
        <v>39</v>
      </c>
      <c r="Q622">
        <v>2.33</v>
      </c>
      <c r="R622">
        <v>43.1</v>
      </c>
      <c r="S622" t="s">
        <v>40</v>
      </c>
      <c r="T622">
        <v>18</v>
      </c>
      <c r="U622">
        <f t="shared" si="45"/>
        <v>41.94</v>
      </c>
      <c r="V622">
        <v>0.6</v>
      </c>
      <c r="W622">
        <v>80</v>
      </c>
      <c r="X622">
        <v>0.35</v>
      </c>
      <c r="Y622">
        <f t="shared" si="46"/>
        <v>28</v>
      </c>
      <c r="Z622">
        <f t="shared" si="47"/>
        <v>25.163999999999998</v>
      </c>
      <c r="AA622">
        <f t="shared" si="48"/>
        <v>0</v>
      </c>
      <c r="AB622">
        <f t="shared" si="49"/>
        <v>0</v>
      </c>
    </row>
    <row r="623" spans="1:28" ht="25.5" x14ac:dyDescent="0.25">
      <c r="A623" s="7">
        <v>622</v>
      </c>
      <c r="B623" s="7" t="s">
        <v>15</v>
      </c>
      <c r="C623" s="7" t="s">
        <v>113</v>
      </c>
      <c r="D623" s="7" t="s">
        <v>719</v>
      </c>
      <c r="E623" s="7"/>
      <c r="F623" s="8"/>
      <c r="G623" s="7" t="s">
        <v>719</v>
      </c>
      <c r="H623" s="9">
        <v>33.862335000000002</v>
      </c>
      <c r="I623" s="9">
        <v>7.8818409999999997</v>
      </c>
      <c r="J623" s="7" t="s">
        <v>115</v>
      </c>
      <c r="K623" s="7" t="s">
        <v>37</v>
      </c>
      <c r="L623" s="7"/>
      <c r="M623" s="10">
        <v>0.77</v>
      </c>
      <c r="N623" s="7" t="s">
        <v>44</v>
      </c>
      <c r="O623" s="7"/>
      <c r="P623" s="8" t="s">
        <v>39</v>
      </c>
      <c r="Q623">
        <v>2.1800000000000002</v>
      </c>
      <c r="R623">
        <v>35</v>
      </c>
      <c r="S623" t="s">
        <v>40</v>
      </c>
      <c r="T623">
        <v>18</v>
      </c>
      <c r="U623">
        <f t="shared" si="45"/>
        <v>39.24</v>
      </c>
      <c r="V623">
        <v>0.6</v>
      </c>
      <c r="W623">
        <v>0</v>
      </c>
      <c r="X623">
        <v>0</v>
      </c>
      <c r="Y623">
        <f t="shared" si="46"/>
        <v>0</v>
      </c>
      <c r="Z623">
        <f t="shared" si="47"/>
        <v>23.544</v>
      </c>
      <c r="AA623">
        <f t="shared" si="48"/>
        <v>23.544</v>
      </c>
      <c r="AB623">
        <f t="shared" si="49"/>
        <v>18.128880000000002</v>
      </c>
    </row>
    <row r="624" spans="1:28" ht="25.5" x14ac:dyDescent="0.25">
      <c r="A624" s="7">
        <v>623</v>
      </c>
      <c r="B624" s="7" t="s">
        <v>15</v>
      </c>
      <c r="C624" s="7" t="s">
        <v>116</v>
      </c>
      <c r="D624" s="7" t="s">
        <v>720</v>
      </c>
      <c r="E624" s="7"/>
      <c r="F624" s="8"/>
      <c r="G624" s="7" t="s">
        <v>720</v>
      </c>
      <c r="H624" s="9">
        <v>36.84149</v>
      </c>
      <c r="I624" s="9">
        <v>10.327647000000001</v>
      </c>
      <c r="J624" s="7" t="s">
        <v>118</v>
      </c>
      <c r="K624" s="7" t="s">
        <v>37</v>
      </c>
      <c r="L624" s="7"/>
      <c r="M624" s="10">
        <v>13.24</v>
      </c>
      <c r="N624" s="7" t="s">
        <v>48</v>
      </c>
      <c r="O624" s="7"/>
      <c r="P624" s="8" t="s">
        <v>39</v>
      </c>
      <c r="Q624">
        <v>7.03</v>
      </c>
      <c r="R624">
        <v>26.6</v>
      </c>
      <c r="S624" t="s">
        <v>58</v>
      </c>
      <c r="T624">
        <v>16</v>
      </c>
      <c r="U624">
        <f t="shared" si="45"/>
        <v>112.48</v>
      </c>
      <c r="V624">
        <v>0.81</v>
      </c>
      <c r="W624">
        <v>80</v>
      </c>
      <c r="X624">
        <v>0.35</v>
      </c>
      <c r="Y624">
        <f t="shared" si="46"/>
        <v>28</v>
      </c>
      <c r="Z624">
        <f t="shared" si="47"/>
        <v>91.108800000000002</v>
      </c>
      <c r="AA624">
        <f t="shared" si="48"/>
        <v>63.108800000000002</v>
      </c>
      <c r="AB624">
        <f t="shared" si="49"/>
        <v>835.56051200000002</v>
      </c>
    </row>
    <row r="625" spans="1:28" ht="25.5" x14ac:dyDescent="0.25">
      <c r="A625" s="7">
        <v>624</v>
      </c>
      <c r="B625" s="7" t="s">
        <v>15</v>
      </c>
      <c r="C625" s="7" t="s">
        <v>119</v>
      </c>
      <c r="D625" s="7" t="s">
        <v>721</v>
      </c>
      <c r="E625" s="7"/>
      <c r="F625" s="8"/>
      <c r="G625" s="7" t="s">
        <v>721</v>
      </c>
      <c r="H625" s="9">
        <v>36.383870999999999</v>
      </c>
      <c r="I625" s="9">
        <v>9.6228809999999996</v>
      </c>
      <c r="J625" s="7" t="s">
        <v>121</v>
      </c>
      <c r="K625" s="7" t="s">
        <v>37</v>
      </c>
      <c r="L625" s="7"/>
      <c r="M625" s="10">
        <v>3.68</v>
      </c>
      <c r="N625" s="7" t="s">
        <v>52</v>
      </c>
      <c r="O625" s="7"/>
      <c r="P625" s="8" t="s">
        <v>39</v>
      </c>
      <c r="Q625">
        <v>6.22</v>
      </c>
      <c r="R625">
        <v>25.8</v>
      </c>
      <c r="S625" t="s">
        <v>58</v>
      </c>
      <c r="T625">
        <v>12</v>
      </c>
      <c r="U625">
        <f t="shared" si="45"/>
        <v>74.64</v>
      </c>
      <c r="V625">
        <v>0.99</v>
      </c>
      <c r="W625">
        <v>80</v>
      </c>
      <c r="X625">
        <v>0.35</v>
      </c>
      <c r="Y625">
        <f t="shared" si="46"/>
        <v>28</v>
      </c>
      <c r="Z625">
        <f t="shared" si="47"/>
        <v>73.893600000000006</v>
      </c>
      <c r="AA625">
        <f t="shared" si="48"/>
        <v>45.893600000000006</v>
      </c>
      <c r="AB625">
        <f t="shared" si="49"/>
        <v>168.88844800000004</v>
      </c>
    </row>
    <row r="626" spans="1:28" ht="25.5" x14ac:dyDescent="0.25">
      <c r="A626" s="7">
        <v>625</v>
      </c>
      <c r="B626" s="7" t="s">
        <v>15</v>
      </c>
      <c r="C626" s="7" t="s">
        <v>34</v>
      </c>
      <c r="D626" s="7" t="s">
        <v>722</v>
      </c>
      <c r="E626" s="7"/>
      <c r="F626" s="8"/>
      <c r="G626" s="7" t="s">
        <v>722</v>
      </c>
      <c r="H626" s="9">
        <v>36.915118999999997</v>
      </c>
      <c r="I626" s="9">
        <v>10.239388999999999</v>
      </c>
      <c r="J626" s="7" t="s">
        <v>36</v>
      </c>
      <c r="K626" s="7" t="s">
        <v>37</v>
      </c>
      <c r="L626" s="7"/>
      <c r="M626" s="10">
        <v>24.92</v>
      </c>
      <c r="N626" s="7" t="s">
        <v>57</v>
      </c>
      <c r="O626" s="7"/>
      <c r="P626" s="8" t="s">
        <v>39</v>
      </c>
      <c r="Q626">
        <v>5.62</v>
      </c>
      <c r="R626">
        <v>24.5</v>
      </c>
      <c r="S626" t="s">
        <v>53</v>
      </c>
      <c r="T626">
        <v>8</v>
      </c>
      <c r="U626">
        <f t="shared" si="45"/>
        <v>44.96</v>
      </c>
      <c r="V626">
        <v>1.38</v>
      </c>
      <c r="W626">
        <v>0</v>
      </c>
      <c r="X626">
        <v>0</v>
      </c>
      <c r="Y626">
        <f t="shared" si="46"/>
        <v>0</v>
      </c>
      <c r="Z626">
        <f t="shared" si="47"/>
        <v>62.044799999999995</v>
      </c>
      <c r="AA626">
        <f t="shared" si="48"/>
        <v>62.044799999999995</v>
      </c>
      <c r="AB626">
        <f t="shared" si="49"/>
        <v>1546.156416</v>
      </c>
    </row>
    <row r="627" spans="1:28" ht="25.5" x14ac:dyDescent="0.25">
      <c r="A627" s="7">
        <v>626</v>
      </c>
      <c r="B627" s="7" t="s">
        <v>15</v>
      </c>
      <c r="C627" s="7" t="s">
        <v>41</v>
      </c>
      <c r="D627" s="7" t="s">
        <v>723</v>
      </c>
      <c r="E627" s="7"/>
      <c r="F627" s="8"/>
      <c r="G627" s="7" t="s">
        <v>723</v>
      </c>
      <c r="H627" s="9">
        <v>36.650593999999998</v>
      </c>
      <c r="I627" s="9">
        <v>9.6007090000000002</v>
      </c>
      <c r="J627" s="7" t="s">
        <v>43</v>
      </c>
      <c r="K627" s="7" t="s">
        <v>37</v>
      </c>
      <c r="L627" s="7"/>
      <c r="M627" s="10">
        <v>22.81</v>
      </c>
      <c r="N627" s="7" t="s">
        <v>62</v>
      </c>
      <c r="O627" s="7"/>
      <c r="P627" s="8" t="s">
        <v>39</v>
      </c>
      <c r="Q627">
        <v>6.29</v>
      </c>
      <c r="R627">
        <v>10.9</v>
      </c>
      <c r="S627" t="s">
        <v>91</v>
      </c>
      <c r="T627">
        <v>7</v>
      </c>
      <c r="U627">
        <f t="shared" si="45"/>
        <v>44.03</v>
      </c>
      <c r="V627">
        <v>1.49</v>
      </c>
      <c r="W627">
        <v>50</v>
      </c>
      <c r="X627">
        <v>0.35</v>
      </c>
      <c r="Y627">
        <f t="shared" si="46"/>
        <v>17.5</v>
      </c>
      <c r="Z627">
        <f t="shared" si="47"/>
        <v>65.604700000000008</v>
      </c>
      <c r="AA627">
        <f t="shared" si="48"/>
        <v>48.104700000000008</v>
      </c>
      <c r="AB627">
        <f t="shared" si="49"/>
        <v>1097.2682070000001</v>
      </c>
    </row>
    <row r="628" spans="1:28" ht="25.5" x14ac:dyDescent="0.25">
      <c r="A628" s="7">
        <v>627</v>
      </c>
      <c r="B628" s="7" t="s">
        <v>15</v>
      </c>
      <c r="C628" s="7" t="s">
        <v>45</v>
      </c>
      <c r="D628" s="7" t="s">
        <v>724</v>
      </c>
      <c r="E628" s="7"/>
      <c r="F628" s="8"/>
      <c r="G628" s="7" t="s">
        <v>724</v>
      </c>
      <c r="H628" s="9">
        <v>36.619177999999998</v>
      </c>
      <c r="I628" s="9">
        <v>10.300478999999999</v>
      </c>
      <c r="J628" s="7" t="s">
        <v>47</v>
      </c>
      <c r="K628" s="7" t="s">
        <v>37</v>
      </c>
      <c r="L628" s="7"/>
      <c r="M628" s="10">
        <v>23.81</v>
      </c>
      <c r="N628" s="7" t="s">
        <v>66</v>
      </c>
      <c r="O628" s="7"/>
      <c r="P628" s="8" t="s">
        <v>39</v>
      </c>
      <c r="Q628">
        <v>6.89</v>
      </c>
      <c r="R628">
        <v>36.9</v>
      </c>
      <c r="S628" t="s">
        <v>40</v>
      </c>
      <c r="T628">
        <v>10</v>
      </c>
      <c r="U628">
        <f t="shared" si="45"/>
        <v>68.899999999999991</v>
      </c>
      <c r="V628">
        <v>0.48</v>
      </c>
      <c r="W628">
        <v>50</v>
      </c>
      <c r="X628">
        <v>0.35</v>
      </c>
      <c r="Y628">
        <f t="shared" si="46"/>
        <v>17.5</v>
      </c>
      <c r="Z628">
        <f t="shared" si="47"/>
        <v>33.071999999999996</v>
      </c>
      <c r="AA628">
        <f t="shared" si="48"/>
        <v>15.571999999999996</v>
      </c>
      <c r="AB628">
        <f t="shared" si="49"/>
        <v>370.76931999999988</v>
      </c>
    </row>
    <row r="629" spans="1:28" ht="25.5" x14ac:dyDescent="0.25">
      <c r="A629" s="7">
        <v>628</v>
      </c>
      <c r="B629" s="7" t="s">
        <v>15</v>
      </c>
      <c r="C629" s="7" t="s">
        <v>49</v>
      </c>
      <c r="D629" s="7" t="s">
        <v>725</v>
      </c>
      <c r="E629" s="7"/>
      <c r="F629" s="8"/>
      <c r="G629" s="7" t="s">
        <v>725</v>
      </c>
      <c r="H629" s="9">
        <v>37.168165999999999</v>
      </c>
      <c r="I629" s="9">
        <v>9.8015129999999999</v>
      </c>
      <c r="J629" s="7" t="s">
        <v>51</v>
      </c>
      <c r="K629" s="7" t="s">
        <v>37</v>
      </c>
      <c r="L629" s="7"/>
      <c r="M629" s="10">
        <v>20.65</v>
      </c>
      <c r="N629" s="7" t="s">
        <v>70</v>
      </c>
      <c r="O629" s="7"/>
      <c r="P629" s="8" t="s">
        <v>39</v>
      </c>
      <c r="Q629">
        <v>2.38</v>
      </c>
      <c r="R629">
        <v>15.1</v>
      </c>
      <c r="S629" t="s">
        <v>53</v>
      </c>
      <c r="T629">
        <v>9</v>
      </c>
      <c r="U629">
        <f t="shared" si="45"/>
        <v>21.419999999999998</v>
      </c>
      <c r="V629">
        <v>1.03</v>
      </c>
      <c r="W629">
        <v>0</v>
      </c>
      <c r="X629">
        <v>0</v>
      </c>
      <c r="Y629">
        <f t="shared" si="46"/>
        <v>0</v>
      </c>
      <c r="Z629">
        <f t="shared" si="47"/>
        <v>22.0626</v>
      </c>
      <c r="AA629">
        <f t="shared" si="48"/>
        <v>22.0626</v>
      </c>
      <c r="AB629">
        <f t="shared" si="49"/>
        <v>455.59268999999995</v>
      </c>
    </row>
    <row r="630" spans="1:28" ht="25.5" x14ac:dyDescent="0.25">
      <c r="A630" s="7">
        <v>629</v>
      </c>
      <c r="B630" s="7" t="s">
        <v>15</v>
      </c>
      <c r="C630" s="7" t="s">
        <v>54</v>
      </c>
      <c r="D630" s="7" t="s">
        <v>726</v>
      </c>
      <c r="E630" s="7"/>
      <c r="F630" s="8"/>
      <c r="G630" s="7" t="s">
        <v>726</v>
      </c>
      <c r="H630" s="9">
        <v>33.624882999999997</v>
      </c>
      <c r="I630" s="9">
        <v>10.268357999999999</v>
      </c>
      <c r="J630" s="7" t="s">
        <v>56</v>
      </c>
      <c r="K630" s="7" t="s">
        <v>37</v>
      </c>
      <c r="L630" s="7"/>
      <c r="M630" s="10">
        <v>14.74</v>
      </c>
      <c r="N630" s="7" t="s">
        <v>74</v>
      </c>
      <c r="O630" s="7"/>
      <c r="P630" s="8" t="s">
        <v>39</v>
      </c>
      <c r="Q630">
        <v>2.97</v>
      </c>
      <c r="R630">
        <v>10.199999999999999</v>
      </c>
      <c r="S630" t="s">
        <v>91</v>
      </c>
      <c r="T630">
        <v>10</v>
      </c>
      <c r="U630">
        <f t="shared" si="45"/>
        <v>29.700000000000003</v>
      </c>
      <c r="V630">
        <v>1.22</v>
      </c>
      <c r="W630">
        <v>0</v>
      </c>
      <c r="X630">
        <v>0</v>
      </c>
      <c r="Y630">
        <f t="shared" si="46"/>
        <v>0</v>
      </c>
      <c r="Z630">
        <f t="shared" si="47"/>
        <v>36.234000000000002</v>
      </c>
      <c r="AA630">
        <f t="shared" si="48"/>
        <v>36.234000000000002</v>
      </c>
      <c r="AB630">
        <f t="shared" si="49"/>
        <v>534.08915999999999</v>
      </c>
    </row>
    <row r="631" spans="1:28" ht="25.5" x14ac:dyDescent="0.25">
      <c r="A631" s="7">
        <v>630</v>
      </c>
      <c r="B631" s="7" t="s">
        <v>15</v>
      </c>
      <c r="C631" s="7" t="s">
        <v>59</v>
      </c>
      <c r="D631" s="7" t="s">
        <v>727</v>
      </c>
      <c r="E631" s="7"/>
      <c r="F631" s="8"/>
      <c r="G631" s="7" t="s">
        <v>727</v>
      </c>
      <c r="H631" s="9">
        <v>34.31756</v>
      </c>
      <c r="I631" s="9">
        <v>8.4181930000000005</v>
      </c>
      <c r="J631" s="7" t="s">
        <v>61</v>
      </c>
      <c r="K631" s="7" t="s">
        <v>37</v>
      </c>
      <c r="L631" s="7"/>
      <c r="M631" s="10">
        <v>6.34</v>
      </c>
      <c r="N631" s="7" t="s">
        <v>78</v>
      </c>
      <c r="O631" s="7"/>
      <c r="P631" s="8" t="s">
        <v>39</v>
      </c>
      <c r="Q631">
        <v>2.2599999999999998</v>
      </c>
      <c r="R631">
        <v>24.4</v>
      </c>
      <c r="S631" t="s">
        <v>53</v>
      </c>
      <c r="T631">
        <v>14</v>
      </c>
      <c r="U631">
        <f t="shared" si="45"/>
        <v>31.639999999999997</v>
      </c>
      <c r="V631">
        <v>1.1499999999999999</v>
      </c>
      <c r="W631">
        <v>50</v>
      </c>
      <c r="X631">
        <v>0.35</v>
      </c>
      <c r="Y631">
        <f t="shared" si="46"/>
        <v>17.5</v>
      </c>
      <c r="Z631">
        <f t="shared" si="47"/>
        <v>36.385999999999996</v>
      </c>
      <c r="AA631">
        <f t="shared" si="48"/>
        <v>18.885999999999996</v>
      </c>
      <c r="AB631">
        <f t="shared" si="49"/>
        <v>119.73723999999997</v>
      </c>
    </row>
    <row r="632" spans="1:28" ht="25.5" x14ac:dyDescent="0.25">
      <c r="A632" s="7">
        <v>631</v>
      </c>
      <c r="B632" s="7" t="s">
        <v>15</v>
      </c>
      <c r="C632" s="7" t="s">
        <v>63</v>
      </c>
      <c r="D632" s="7" t="s">
        <v>728</v>
      </c>
      <c r="E632" s="7"/>
      <c r="F632" s="8"/>
      <c r="G632" s="7" t="s">
        <v>728</v>
      </c>
      <c r="H632" s="9">
        <v>36.962505999999998</v>
      </c>
      <c r="I632" s="9">
        <v>8.7590000000000003</v>
      </c>
      <c r="J632" s="7" t="s">
        <v>65</v>
      </c>
      <c r="K632" s="7" t="s">
        <v>37</v>
      </c>
      <c r="L632" s="7"/>
      <c r="M632" s="10">
        <v>21.87</v>
      </c>
      <c r="N632" s="7" t="s">
        <v>38</v>
      </c>
      <c r="O632" s="7"/>
      <c r="P632" s="8" t="s">
        <v>39</v>
      </c>
      <c r="Q632">
        <v>2.96</v>
      </c>
      <c r="R632">
        <v>15.5</v>
      </c>
      <c r="S632" t="s">
        <v>53</v>
      </c>
      <c r="T632">
        <v>18</v>
      </c>
      <c r="U632">
        <f t="shared" si="45"/>
        <v>53.28</v>
      </c>
      <c r="V632">
        <v>1.1499999999999999</v>
      </c>
      <c r="W632">
        <v>50</v>
      </c>
      <c r="X632">
        <v>0.35</v>
      </c>
      <c r="Y632">
        <f t="shared" si="46"/>
        <v>17.5</v>
      </c>
      <c r="Z632">
        <f t="shared" si="47"/>
        <v>61.271999999999998</v>
      </c>
      <c r="AA632">
        <f t="shared" si="48"/>
        <v>43.771999999999998</v>
      </c>
      <c r="AB632">
        <f t="shared" si="49"/>
        <v>957.29363999999998</v>
      </c>
    </row>
    <row r="633" spans="1:28" ht="25.5" x14ac:dyDescent="0.25">
      <c r="A633" s="7">
        <v>632</v>
      </c>
      <c r="B633" s="7" t="s">
        <v>15</v>
      </c>
      <c r="C633" s="7" t="s">
        <v>67</v>
      </c>
      <c r="D633" s="7" t="s">
        <v>729</v>
      </c>
      <c r="E633" s="7"/>
      <c r="F633" s="8"/>
      <c r="G633" s="7" t="s">
        <v>729</v>
      </c>
      <c r="H633" s="9">
        <v>35.630363000000003</v>
      </c>
      <c r="I633" s="9">
        <v>9.9261590000000002</v>
      </c>
      <c r="J633" s="7" t="s">
        <v>69</v>
      </c>
      <c r="K633" s="7" t="s">
        <v>37</v>
      </c>
      <c r="L633" s="7"/>
      <c r="M633" s="10">
        <v>16.149999999999999</v>
      </c>
      <c r="N633" s="7" t="s">
        <v>44</v>
      </c>
      <c r="O633" s="7"/>
      <c r="P633" s="8" t="s">
        <v>39</v>
      </c>
      <c r="Q633">
        <v>7.08</v>
      </c>
      <c r="R633">
        <v>35.1</v>
      </c>
      <c r="S633" t="s">
        <v>40</v>
      </c>
      <c r="T633">
        <v>18</v>
      </c>
      <c r="U633">
        <f t="shared" si="45"/>
        <v>127.44</v>
      </c>
      <c r="V633">
        <v>0.6</v>
      </c>
      <c r="W633">
        <v>80</v>
      </c>
      <c r="X633">
        <v>0.35</v>
      </c>
      <c r="Y633">
        <f t="shared" si="46"/>
        <v>28</v>
      </c>
      <c r="Z633">
        <f t="shared" si="47"/>
        <v>76.463999999999999</v>
      </c>
      <c r="AA633">
        <f t="shared" si="48"/>
        <v>48.463999999999999</v>
      </c>
      <c r="AB633">
        <f t="shared" si="49"/>
        <v>782.69359999999995</v>
      </c>
    </row>
    <row r="634" spans="1:28" ht="25.5" x14ac:dyDescent="0.25">
      <c r="A634" s="7">
        <v>633</v>
      </c>
      <c r="B634" s="7" t="s">
        <v>15</v>
      </c>
      <c r="C634" s="7" t="s">
        <v>71</v>
      </c>
      <c r="D634" s="7" t="s">
        <v>730</v>
      </c>
      <c r="E634" s="7"/>
      <c r="F634" s="8"/>
      <c r="G634" s="7" t="s">
        <v>730</v>
      </c>
      <c r="H634" s="9">
        <v>35.208537</v>
      </c>
      <c r="I634" s="9">
        <v>9.1342730000000003</v>
      </c>
      <c r="J634" s="7" t="s">
        <v>73</v>
      </c>
      <c r="K634" s="7" t="s">
        <v>37</v>
      </c>
      <c r="L634" s="7"/>
      <c r="M634" s="10">
        <v>20.12</v>
      </c>
      <c r="N634" s="7" t="s">
        <v>48</v>
      </c>
      <c r="O634" s="7"/>
      <c r="P634" s="8" t="s">
        <v>39</v>
      </c>
      <c r="Q634">
        <v>4.8099999999999996</v>
      </c>
      <c r="R634">
        <v>21.8</v>
      </c>
      <c r="S634" t="s">
        <v>53</v>
      </c>
      <c r="T634">
        <v>16</v>
      </c>
      <c r="U634">
        <f t="shared" si="45"/>
        <v>76.959999999999994</v>
      </c>
      <c r="V634">
        <v>1.03</v>
      </c>
      <c r="W634">
        <v>50</v>
      </c>
      <c r="X634">
        <v>0.35</v>
      </c>
      <c r="Y634">
        <f t="shared" si="46"/>
        <v>17.5</v>
      </c>
      <c r="Z634">
        <f t="shared" si="47"/>
        <v>79.268799999999999</v>
      </c>
      <c r="AA634">
        <f t="shared" si="48"/>
        <v>61.768799999999999</v>
      </c>
      <c r="AB634">
        <f t="shared" si="49"/>
        <v>1242.788256</v>
      </c>
    </row>
    <row r="635" spans="1:28" ht="25.5" x14ac:dyDescent="0.25">
      <c r="A635" s="7">
        <v>634</v>
      </c>
      <c r="B635" s="7" t="s">
        <v>15</v>
      </c>
      <c r="C635" s="7" t="s">
        <v>75</v>
      </c>
      <c r="D635" s="7" t="s">
        <v>731</v>
      </c>
      <c r="E635" s="7"/>
      <c r="F635" s="8"/>
      <c r="G635" s="7" t="s">
        <v>731</v>
      </c>
      <c r="H635" s="9">
        <v>33.483550999999999</v>
      </c>
      <c r="I635" s="9">
        <v>9.0396339999999995</v>
      </c>
      <c r="J635" s="7" t="s">
        <v>77</v>
      </c>
      <c r="K635" s="7" t="s">
        <v>37</v>
      </c>
      <c r="L635" s="7"/>
      <c r="M635" s="10">
        <v>17.87</v>
      </c>
      <c r="N635" s="7" t="s">
        <v>52</v>
      </c>
      <c r="O635" s="7"/>
      <c r="P635" s="8" t="s">
        <v>39</v>
      </c>
      <c r="Q635">
        <v>6.98</v>
      </c>
      <c r="R635">
        <v>23.5</v>
      </c>
      <c r="S635" t="s">
        <v>53</v>
      </c>
      <c r="T635">
        <v>12</v>
      </c>
      <c r="U635">
        <f t="shared" si="45"/>
        <v>83.76</v>
      </c>
      <c r="V635">
        <v>1.26</v>
      </c>
      <c r="W635">
        <v>0</v>
      </c>
      <c r="X635">
        <v>0</v>
      </c>
      <c r="Y635">
        <f t="shared" si="46"/>
        <v>0</v>
      </c>
      <c r="Z635">
        <f t="shared" si="47"/>
        <v>105.53760000000001</v>
      </c>
      <c r="AA635">
        <f t="shared" si="48"/>
        <v>105.53760000000001</v>
      </c>
      <c r="AB635">
        <f t="shared" si="49"/>
        <v>1885.9569120000003</v>
      </c>
    </row>
    <row r="636" spans="1:28" ht="25.5" x14ac:dyDescent="0.25">
      <c r="A636" s="7">
        <v>635</v>
      </c>
      <c r="B636" s="7" t="s">
        <v>15</v>
      </c>
      <c r="C636" s="7" t="s">
        <v>79</v>
      </c>
      <c r="D636" s="7" t="s">
        <v>732</v>
      </c>
      <c r="E636" s="7"/>
      <c r="F636" s="8"/>
      <c r="G636" s="7" t="s">
        <v>732</v>
      </c>
      <c r="H636" s="9">
        <v>35.948680000000003</v>
      </c>
      <c r="I636" s="9">
        <v>8.8460590000000003</v>
      </c>
      <c r="J636" s="7" t="s">
        <v>81</v>
      </c>
      <c r="K636" s="7" t="s">
        <v>37</v>
      </c>
      <c r="L636" s="7"/>
      <c r="M636" s="10">
        <v>7.29</v>
      </c>
      <c r="N636" s="7" t="s">
        <v>57</v>
      </c>
      <c r="O636" s="7"/>
      <c r="P636" s="8" t="s">
        <v>39</v>
      </c>
      <c r="Q636">
        <v>7.13</v>
      </c>
      <c r="R636">
        <v>33.9</v>
      </c>
      <c r="S636" t="s">
        <v>58</v>
      </c>
      <c r="T636">
        <v>8</v>
      </c>
      <c r="U636">
        <f t="shared" si="45"/>
        <v>57.04</v>
      </c>
      <c r="V636">
        <v>1.08</v>
      </c>
      <c r="W636">
        <v>0</v>
      </c>
      <c r="X636">
        <v>0</v>
      </c>
      <c r="Y636">
        <f t="shared" si="46"/>
        <v>0</v>
      </c>
      <c r="Z636">
        <f t="shared" si="47"/>
        <v>61.603200000000001</v>
      </c>
      <c r="AA636">
        <f t="shared" si="48"/>
        <v>61.603200000000001</v>
      </c>
      <c r="AB636">
        <f t="shared" si="49"/>
        <v>449.08732800000001</v>
      </c>
    </row>
    <row r="637" spans="1:28" ht="25.5" x14ac:dyDescent="0.25">
      <c r="A637" s="7">
        <v>636</v>
      </c>
      <c r="B637" s="7" t="s">
        <v>15</v>
      </c>
      <c r="C637" s="7" t="s">
        <v>82</v>
      </c>
      <c r="D637" s="7" t="s">
        <v>733</v>
      </c>
      <c r="E637" s="7"/>
      <c r="F637" s="8"/>
      <c r="G637" s="7" t="s">
        <v>733</v>
      </c>
      <c r="H637" s="9">
        <v>35.240347</v>
      </c>
      <c r="I637" s="9">
        <v>11.138199</v>
      </c>
      <c r="J637" s="7" t="s">
        <v>84</v>
      </c>
      <c r="K637" s="7" t="s">
        <v>37</v>
      </c>
      <c r="L637" s="7"/>
      <c r="M637" s="10">
        <v>7.46</v>
      </c>
      <c r="N637" s="7" t="s">
        <v>62</v>
      </c>
      <c r="O637" s="7"/>
      <c r="P637" s="8" t="s">
        <v>39</v>
      </c>
      <c r="Q637">
        <v>7.65</v>
      </c>
      <c r="R637">
        <v>27.2</v>
      </c>
      <c r="S637" t="s">
        <v>58</v>
      </c>
      <c r="T637">
        <v>7</v>
      </c>
      <c r="U637">
        <f t="shared" si="45"/>
        <v>53.550000000000004</v>
      </c>
      <c r="V637">
        <v>0.99</v>
      </c>
      <c r="W637">
        <v>120</v>
      </c>
      <c r="X637">
        <v>0.35</v>
      </c>
      <c r="Y637">
        <f t="shared" si="46"/>
        <v>42</v>
      </c>
      <c r="Z637">
        <f t="shared" si="47"/>
        <v>53.014500000000005</v>
      </c>
      <c r="AA637">
        <f t="shared" si="48"/>
        <v>11.014500000000005</v>
      </c>
      <c r="AB637">
        <f t="shared" si="49"/>
        <v>82.168170000000046</v>
      </c>
    </row>
    <row r="638" spans="1:28" ht="25.5" x14ac:dyDescent="0.25">
      <c r="A638" s="7">
        <v>637</v>
      </c>
      <c r="B638" s="7" t="s">
        <v>15</v>
      </c>
      <c r="C638" s="7" t="s">
        <v>85</v>
      </c>
      <c r="D638" s="7" t="s">
        <v>734</v>
      </c>
      <c r="E638" s="7"/>
      <c r="F638" s="8"/>
      <c r="G638" s="7" t="s">
        <v>734</v>
      </c>
      <c r="H638" s="9">
        <v>36.827370999999999</v>
      </c>
      <c r="I638" s="9">
        <v>9.8371060000000003</v>
      </c>
      <c r="J638" s="7" t="s">
        <v>87</v>
      </c>
      <c r="K638" s="7" t="s">
        <v>37</v>
      </c>
      <c r="L638" s="7"/>
      <c r="M638" s="10">
        <v>12.63</v>
      </c>
      <c r="N638" s="7" t="s">
        <v>66</v>
      </c>
      <c r="O638" s="7"/>
      <c r="P638" s="8" t="s">
        <v>39</v>
      </c>
      <c r="Q638">
        <v>3.8</v>
      </c>
      <c r="R638">
        <v>33</v>
      </c>
      <c r="S638" t="s">
        <v>58</v>
      </c>
      <c r="T638">
        <v>10</v>
      </c>
      <c r="U638">
        <f t="shared" si="45"/>
        <v>38</v>
      </c>
      <c r="V638">
        <v>0.72</v>
      </c>
      <c r="W638">
        <v>0</v>
      </c>
      <c r="X638">
        <v>0</v>
      </c>
      <c r="Y638">
        <f t="shared" si="46"/>
        <v>0</v>
      </c>
      <c r="Z638">
        <f t="shared" si="47"/>
        <v>27.36</v>
      </c>
      <c r="AA638">
        <f t="shared" si="48"/>
        <v>27.36</v>
      </c>
      <c r="AB638">
        <f t="shared" si="49"/>
        <v>345.55680000000001</v>
      </c>
    </row>
    <row r="639" spans="1:28" ht="25.5" x14ac:dyDescent="0.25">
      <c r="A639" s="7">
        <v>638</v>
      </c>
      <c r="B639" s="7" t="s">
        <v>15</v>
      </c>
      <c r="C639" s="7" t="s">
        <v>88</v>
      </c>
      <c r="D639" s="7" t="s">
        <v>735</v>
      </c>
      <c r="E639" s="7"/>
      <c r="F639" s="8"/>
      <c r="G639" s="7" t="s">
        <v>735</v>
      </c>
      <c r="H639" s="9">
        <v>33.790748000000001</v>
      </c>
      <c r="I639" s="9">
        <v>11.006092000000001</v>
      </c>
      <c r="J639" s="7" t="s">
        <v>90</v>
      </c>
      <c r="K639" s="7" t="s">
        <v>37</v>
      </c>
      <c r="L639" s="7"/>
      <c r="M639" s="10">
        <v>24.66</v>
      </c>
      <c r="N639" s="7" t="s">
        <v>70</v>
      </c>
      <c r="O639" s="7"/>
      <c r="P639" s="8" t="s">
        <v>39</v>
      </c>
      <c r="Q639">
        <v>3.2</v>
      </c>
      <c r="R639">
        <v>38.4</v>
      </c>
      <c r="S639" t="s">
        <v>40</v>
      </c>
      <c r="T639">
        <v>9</v>
      </c>
      <c r="U639">
        <f t="shared" si="45"/>
        <v>28.8</v>
      </c>
      <c r="V639">
        <v>0.54</v>
      </c>
      <c r="W639">
        <v>50</v>
      </c>
      <c r="X639">
        <v>0.35</v>
      </c>
      <c r="Y639">
        <f t="shared" si="46"/>
        <v>17.5</v>
      </c>
      <c r="Z639">
        <f t="shared" si="47"/>
        <v>15.552000000000001</v>
      </c>
      <c r="AA639">
        <f t="shared" si="48"/>
        <v>0</v>
      </c>
      <c r="AB639">
        <f t="shared" si="49"/>
        <v>0</v>
      </c>
    </row>
    <row r="640" spans="1:28" ht="25.5" x14ac:dyDescent="0.25">
      <c r="A640" s="7">
        <v>639</v>
      </c>
      <c r="B640" s="7" t="s">
        <v>15</v>
      </c>
      <c r="C640" s="7" t="s">
        <v>92</v>
      </c>
      <c r="D640" s="7" t="s">
        <v>736</v>
      </c>
      <c r="E640" s="7"/>
      <c r="F640" s="8"/>
      <c r="G640" s="7" t="s">
        <v>736</v>
      </c>
      <c r="H640" s="9">
        <v>35.627223000000001</v>
      </c>
      <c r="I640" s="9">
        <v>10.75564</v>
      </c>
      <c r="J640" s="7" t="s">
        <v>94</v>
      </c>
      <c r="K640" s="7" t="s">
        <v>37</v>
      </c>
      <c r="L640" s="7"/>
      <c r="M640" s="10">
        <v>10.11</v>
      </c>
      <c r="N640" s="7" t="s">
        <v>74</v>
      </c>
      <c r="O640" s="7"/>
      <c r="P640" s="8" t="s">
        <v>39</v>
      </c>
      <c r="Q640">
        <v>5.3</v>
      </c>
      <c r="R640">
        <v>43.9</v>
      </c>
      <c r="S640" t="s">
        <v>40</v>
      </c>
      <c r="T640">
        <v>10</v>
      </c>
      <c r="U640">
        <f t="shared" si="45"/>
        <v>53</v>
      </c>
      <c r="V640">
        <v>0.54</v>
      </c>
      <c r="W640">
        <v>160</v>
      </c>
      <c r="X640">
        <v>0.35</v>
      </c>
      <c r="Y640">
        <f t="shared" si="46"/>
        <v>56</v>
      </c>
      <c r="Z640">
        <f t="shared" si="47"/>
        <v>28.62</v>
      </c>
      <c r="AA640">
        <f t="shared" si="48"/>
        <v>0</v>
      </c>
      <c r="AB640">
        <f t="shared" si="49"/>
        <v>0</v>
      </c>
    </row>
    <row r="641" spans="1:28" ht="25.5" x14ac:dyDescent="0.25">
      <c r="A641" s="7">
        <v>640</v>
      </c>
      <c r="B641" s="7" t="s">
        <v>15</v>
      </c>
      <c r="C641" s="7" t="s">
        <v>95</v>
      </c>
      <c r="D641" s="7" t="s">
        <v>737</v>
      </c>
      <c r="E641" s="7"/>
      <c r="F641" s="8"/>
      <c r="G641" s="7" t="s">
        <v>737</v>
      </c>
      <c r="H641" s="9">
        <v>36.549275000000002</v>
      </c>
      <c r="I641" s="9">
        <v>10.871022</v>
      </c>
      <c r="J641" s="7" t="s">
        <v>97</v>
      </c>
      <c r="K641" s="7" t="s">
        <v>37</v>
      </c>
      <c r="L641" s="7"/>
      <c r="M641" s="10">
        <v>8.23</v>
      </c>
      <c r="N641" s="7" t="s">
        <v>78</v>
      </c>
      <c r="O641" s="7"/>
      <c r="P641" s="8" t="s">
        <v>39</v>
      </c>
      <c r="Q641">
        <v>4.6500000000000004</v>
      </c>
      <c r="R641">
        <v>30.4</v>
      </c>
      <c r="S641" t="s">
        <v>58</v>
      </c>
      <c r="T641">
        <v>14</v>
      </c>
      <c r="U641">
        <f t="shared" si="45"/>
        <v>65.100000000000009</v>
      </c>
      <c r="V641">
        <v>0.9</v>
      </c>
      <c r="W641">
        <v>0</v>
      </c>
      <c r="X641">
        <v>0</v>
      </c>
      <c r="Y641">
        <f t="shared" si="46"/>
        <v>0</v>
      </c>
      <c r="Z641">
        <f t="shared" si="47"/>
        <v>58.590000000000011</v>
      </c>
      <c r="AA641">
        <f t="shared" si="48"/>
        <v>58.590000000000011</v>
      </c>
      <c r="AB641">
        <f t="shared" si="49"/>
        <v>482.1957000000001</v>
      </c>
    </row>
    <row r="642" spans="1:28" ht="25.5" x14ac:dyDescent="0.25">
      <c r="A642" s="7">
        <v>641</v>
      </c>
      <c r="B642" s="7" t="s">
        <v>15</v>
      </c>
      <c r="C642" s="7" t="s">
        <v>98</v>
      </c>
      <c r="D642" s="7" t="s">
        <v>738</v>
      </c>
      <c r="E642" s="7"/>
      <c r="F642" s="8"/>
      <c r="G642" s="7" t="s">
        <v>738</v>
      </c>
      <c r="H642" s="9">
        <v>34.774931000000002</v>
      </c>
      <c r="I642" s="9">
        <v>10.490019999999999</v>
      </c>
      <c r="J642" s="7" t="s">
        <v>100</v>
      </c>
      <c r="K642" s="7" t="s">
        <v>37</v>
      </c>
      <c r="L642" s="7"/>
      <c r="M642" s="10">
        <v>1.03</v>
      </c>
      <c r="N642" s="7" t="s">
        <v>38</v>
      </c>
      <c r="O642" s="7"/>
      <c r="P642" s="8" t="s">
        <v>39</v>
      </c>
      <c r="Q642">
        <v>4.59</v>
      </c>
      <c r="R642">
        <v>42.3</v>
      </c>
      <c r="S642" t="s">
        <v>40</v>
      </c>
      <c r="T642">
        <v>18</v>
      </c>
      <c r="U642">
        <f t="shared" ref="U642:U705" si="50">Q642*T642</f>
        <v>82.62</v>
      </c>
      <c r="V642">
        <v>0.6</v>
      </c>
      <c r="W642">
        <v>0</v>
      </c>
      <c r="X642">
        <v>0</v>
      </c>
      <c r="Y642">
        <f t="shared" ref="Y642:Y705" si="51">W642*X642</f>
        <v>0</v>
      </c>
      <c r="Z642">
        <f t="shared" ref="Z642:Z705" si="52">U642*V642</f>
        <v>49.572000000000003</v>
      </c>
      <c r="AA642">
        <f t="shared" ref="AA642:AA705" si="53">MAX(0,Z642-Y642)</f>
        <v>49.572000000000003</v>
      </c>
      <c r="AB642">
        <f t="shared" si="49"/>
        <v>51.059160000000006</v>
      </c>
    </row>
    <row r="643" spans="1:28" ht="25.5" x14ac:dyDescent="0.25">
      <c r="A643" s="7">
        <v>642</v>
      </c>
      <c r="B643" s="7" t="s">
        <v>15</v>
      </c>
      <c r="C643" s="7" t="s">
        <v>101</v>
      </c>
      <c r="D643" s="7" t="s">
        <v>739</v>
      </c>
      <c r="E643" s="7"/>
      <c r="F643" s="8"/>
      <c r="G643" s="7" t="s">
        <v>739</v>
      </c>
      <c r="H643" s="9">
        <v>34.937294999999999</v>
      </c>
      <c r="I643" s="9">
        <v>9.7817129999999999</v>
      </c>
      <c r="J643" s="7" t="s">
        <v>103</v>
      </c>
      <c r="K643" s="7" t="s">
        <v>37</v>
      </c>
      <c r="L643" s="7"/>
      <c r="M643" s="10">
        <v>5.56</v>
      </c>
      <c r="N643" s="7" t="s">
        <v>44</v>
      </c>
      <c r="O643" s="7"/>
      <c r="P643" s="8" t="s">
        <v>39</v>
      </c>
      <c r="Q643">
        <v>5.15</v>
      </c>
      <c r="R643">
        <v>13.7</v>
      </c>
      <c r="S643" t="s">
        <v>91</v>
      </c>
      <c r="T643">
        <v>18</v>
      </c>
      <c r="U643">
        <f t="shared" si="50"/>
        <v>92.7</v>
      </c>
      <c r="V643">
        <v>1.35</v>
      </c>
      <c r="W643">
        <v>80</v>
      </c>
      <c r="X643">
        <v>0.35</v>
      </c>
      <c r="Y643">
        <f t="shared" si="51"/>
        <v>28</v>
      </c>
      <c r="Z643">
        <f t="shared" si="52"/>
        <v>125.14500000000001</v>
      </c>
      <c r="AA643">
        <f t="shared" si="53"/>
        <v>97.14500000000001</v>
      </c>
      <c r="AB643">
        <f t="shared" ref="AB643:AB706" si="54">AA643*M643</f>
        <v>540.12620000000004</v>
      </c>
    </row>
    <row r="644" spans="1:28" ht="25.5" x14ac:dyDescent="0.25">
      <c r="A644" s="7">
        <v>643</v>
      </c>
      <c r="B644" s="7" t="s">
        <v>15</v>
      </c>
      <c r="C644" s="7" t="s">
        <v>104</v>
      </c>
      <c r="D644" s="7" t="s">
        <v>740</v>
      </c>
      <c r="E644" s="7"/>
      <c r="F644" s="8"/>
      <c r="G644" s="7" t="s">
        <v>740</v>
      </c>
      <c r="H644" s="9">
        <v>35.864013</v>
      </c>
      <c r="I644" s="9">
        <v>9.1834699999999998</v>
      </c>
      <c r="J644" s="7" t="s">
        <v>106</v>
      </c>
      <c r="K644" s="7" t="s">
        <v>37</v>
      </c>
      <c r="L644" s="7"/>
      <c r="M644" s="10">
        <v>23.69</v>
      </c>
      <c r="N644" s="7" t="s">
        <v>48</v>
      </c>
      <c r="O644" s="7"/>
      <c r="P644" s="8" t="s">
        <v>39</v>
      </c>
      <c r="Q644">
        <v>4.84</v>
      </c>
      <c r="R644">
        <v>29.3</v>
      </c>
      <c r="S644" t="s">
        <v>58</v>
      </c>
      <c r="T644">
        <v>16</v>
      </c>
      <c r="U644">
        <f t="shared" si="50"/>
        <v>77.44</v>
      </c>
      <c r="V644">
        <v>0.81</v>
      </c>
      <c r="W644">
        <v>120</v>
      </c>
      <c r="X644">
        <v>0.35</v>
      </c>
      <c r="Y644">
        <f t="shared" si="51"/>
        <v>42</v>
      </c>
      <c r="Z644">
        <f t="shared" si="52"/>
        <v>62.726400000000005</v>
      </c>
      <c r="AA644">
        <f t="shared" si="53"/>
        <v>20.726400000000005</v>
      </c>
      <c r="AB644">
        <f t="shared" si="54"/>
        <v>491.00841600000012</v>
      </c>
    </row>
    <row r="645" spans="1:28" ht="25.5" x14ac:dyDescent="0.25">
      <c r="A645" s="7">
        <v>644</v>
      </c>
      <c r="B645" s="7" t="s">
        <v>15</v>
      </c>
      <c r="C645" s="7" t="s">
        <v>107</v>
      </c>
      <c r="D645" s="7" t="s">
        <v>741</v>
      </c>
      <c r="E645" s="7"/>
      <c r="F645" s="8"/>
      <c r="G645" s="7" t="s">
        <v>741</v>
      </c>
      <c r="H645" s="9">
        <v>36.113233999999999</v>
      </c>
      <c r="I645" s="9">
        <v>10.363490000000001</v>
      </c>
      <c r="J645" s="7" t="s">
        <v>109</v>
      </c>
      <c r="K645" s="7" t="s">
        <v>37</v>
      </c>
      <c r="L645" s="7"/>
      <c r="M645" s="10">
        <v>8.1199999999999992</v>
      </c>
      <c r="N645" s="7" t="s">
        <v>52</v>
      </c>
      <c r="O645" s="7"/>
      <c r="P645" s="8" t="s">
        <v>39</v>
      </c>
      <c r="Q645">
        <v>7.34</v>
      </c>
      <c r="R645">
        <v>38.5</v>
      </c>
      <c r="S645" t="s">
        <v>40</v>
      </c>
      <c r="T645">
        <v>12</v>
      </c>
      <c r="U645">
        <f t="shared" si="50"/>
        <v>88.08</v>
      </c>
      <c r="V645">
        <v>0.66</v>
      </c>
      <c r="W645">
        <v>50</v>
      </c>
      <c r="X645">
        <v>0.35</v>
      </c>
      <c r="Y645">
        <f t="shared" si="51"/>
        <v>17.5</v>
      </c>
      <c r="Z645">
        <f t="shared" si="52"/>
        <v>58.132800000000003</v>
      </c>
      <c r="AA645">
        <f t="shared" si="53"/>
        <v>40.632800000000003</v>
      </c>
      <c r="AB645">
        <f t="shared" si="54"/>
        <v>329.93833599999999</v>
      </c>
    </row>
    <row r="646" spans="1:28" ht="25.5" x14ac:dyDescent="0.25">
      <c r="A646" s="7">
        <v>645</v>
      </c>
      <c r="B646" s="7" t="s">
        <v>15</v>
      </c>
      <c r="C646" s="7" t="s">
        <v>110</v>
      </c>
      <c r="D646" s="7" t="s">
        <v>742</v>
      </c>
      <c r="E646" s="7"/>
      <c r="F646" s="8"/>
      <c r="G646" s="7" t="s">
        <v>742</v>
      </c>
      <c r="H646" s="9">
        <v>33.151969000000001</v>
      </c>
      <c r="I646" s="9">
        <v>10.228287</v>
      </c>
      <c r="J646" s="7" t="s">
        <v>112</v>
      </c>
      <c r="K646" s="7" t="s">
        <v>37</v>
      </c>
      <c r="L646" s="7"/>
      <c r="M646" s="10">
        <v>19.47</v>
      </c>
      <c r="N646" s="7" t="s">
        <v>57</v>
      </c>
      <c r="O646" s="7"/>
      <c r="P646" s="8" t="s">
        <v>39</v>
      </c>
      <c r="Q646">
        <v>7.56</v>
      </c>
      <c r="R646">
        <v>30</v>
      </c>
      <c r="S646" t="s">
        <v>58</v>
      </c>
      <c r="T646">
        <v>8</v>
      </c>
      <c r="U646">
        <f t="shared" si="50"/>
        <v>60.48</v>
      </c>
      <c r="V646">
        <v>1.08</v>
      </c>
      <c r="W646">
        <v>0</v>
      </c>
      <c r="X646">
        <v>0</v>
      </c>
      <c r="Y646">
        <f t="shared" si="51"/>
        <v>0</v>
      </c>
      <c r="Z646">
        <f t="shared" si="52"/>
        <v>65.318399999999997</v>
      </c>
      <c r="AA646">
        <f t="shared" si="53"/>
        <v>65.318399999999997</v>
      </c>
      <c r="AB646">
        <f t="shared" si="54"/>
        <v>1271.7492479999999</v>
      </c>
    </row>
    <row r="647" spans="1:28" ht="25.5" x14ac:dyDescent="0.25">
      <c r="A647" s="7">
        <v>646</v>
      </c>
      <c r="B647" s="7" t="s">
        <v>15</v>
      </c>
      <c r="C647" s="7" t="s">
        <v>113</v>
      </c>
      <c r="D647" s="7" t="s">
        <v>743</v>
      </c>
      <c r="E647" s="7"/>
      <c r="F647" s="8"/>
      <c r="G647" s="7" t="s">
        <v>743</v>
      </c>
      <c r="H647" s="9">
        <v>33.858669999999996</v>
      </c>
      <c r="I647" s="9">
        <v>7.8707310000000001</v>
      </c>
      <c r="J647" s="7" t="s">
        <v>115</v>
      </c>
      <c r="K647" s="7" t="s">
        <v>37</v>
      </c>
      <c r="L647" s="7"/>
      <c r="M647" s="10">
        <v>2.4700000000000002</v>
      </c>
      <c r="N647" s="7" t="s">
        <v>62</v>
      </c>
      <c r="O647" s="7"/>
      <c r="P647" s="8" t="s">
        <v>39</v>
      </c>
      <c r="Q647">
        <v>7.91</v>
      </c>
      <c r="R647">
        <v>27.7</v>
      </c>
      <c r="S647" t="s">
        <v>58</v>
      </c>
      <c r="T647">
        <v>7</v>
      </c>
      <c r="U647">
        <f t="shared" si="50"/>
        <v>55.370000000000005</v>
      </c>
      <c r="V647">
        <v>0.99</v>
      </c>
      <c r="W647">
        <v>50</v>
      </c>
      <c r="X647">
        <v>0.35</v>
      </c>
      <c r="Y647">
        <f t="shared" si="51"/>
        <v>17.5</v>
      </c>
      <c r="Z647">
        <f t="shared" si="52"/>
        <v>54.816300000000005</v>
      </c>
      <c r="AA647">
        <f t="shared" si="53"/>
        <v>37.316300000000005</v>
      </c>
      <c r="AB647">
        <f t="shared" si="54"/>
        <v>92.171261000000015</v>
      </c>
    </row>
    <row r="648" spans="1:28" ht="25.5" x14ac:dyDescent="0.25">
      <c r="A648" s="7">
        <v>647</v>
      </c>
      <c r="B648" s="7" t="s">
        <v>15</v>
      </c>
      <c r="C648" s="7" t="s">
        <v>116</v>
      </c>
      <c r="D648" s="7" t="s">
        <v>744</v>
      </c>
      <c r="E648" s="7"/>
      <c r="F648" s="8"/>
      <c r="G648" s="7" t="s">
        <v>744</v>
      </c>
      <c r="H648" s="9">
        <v>36.877104000000003</v>
      </c>
      <c r="I648" s="9">
        <v>10.310279</v>
      </c>
      <c r="J648" s="7" t="s">
        <v>118</v>
      </c>
      <c r="K648" s="7" t="s">
        <v>37</v>
      </c>
      <c r="L648" s="7"/>
      <c r="M648" s="10">
        <v>8.9</v>
      </c>
      <c r="N648" s="7" t="s">
        <v>66</v>
      </c>
      <c r="O648" s="7"/>
      <c r="P648" s="8" t="s">
        <v>39</v>
      </c>
      <c r="Q648">
        <v>4.87</v>
      </c>
      <c r="R648">
        <v>15.7</v>
      </c>
      <c r="S648" t="s">
        <v>53</v>
      </c>
      <c r="T648">
        <v>10</v>
      </c>
      <c r="U648">
        <f t="shared" si="50"/>
        <v>48.7</v>
      </c>
      <c r="V648">
        <v>0.92</v>
      </c>
      <c r="W648">
        <v>0</v>
      </c>
      <c r="X648">
        <v>0</v>
      </c>
      <c r="Y648">
        <f t="shared" si="51"/>
        <v>0</v>
      </c>
      <c r="Z648">
        <f t="shared" si="52"/>
        <v>44.804000000000002</v>
      </c>
      <c r="AA648">
        <f t="shared" si="53"/>
        <v>44.804000000000002</v>
      </c>
      <c r="AB648">
        <f t="shared" si="54"/>
        <v>398.75560000000002</v>
      </c>
    </row>
    <row r="649" spans="1:28" ht="25.5" x14ac:dyDescent="0.25">
      <c r="A649" s="7">
        <v>648</v>
      </c>
      <c r="B649" s="7" t="s">
        <v>15</v>
      </c>
      <c r="C649" s="7" t="s">
        <v>119</v>
      </c>
      <c r="D649" s="7" t="s">
        <v>745</v>
      </c>
      <c r="E649" s="7"/>
      <c r="F649" s="8"/>
      <c r="G649" s="7" t="s">
        <v>745</v>
      </c>
      <c r="H649" s="9">
        <v>36.408012999999997</v>
      </c>
      <c r="I649" s="9">
        <v>9.6206270000000007</v>
      </c>
      <c r="J649" s="7" t="s">
        <v>121</v>
      </c>
      <c r="K649" s="7" t="s">
        <v>37</v>
      </c>
      <c r="L649" s="7"/>
      <c r="M649" s="10">
        <v>9.27</v>
      </c>
      <c r="N649" s="7" t="s">
        <v>70</v>
      </c>
      <c r="O649" s="7"/>
      <c r="P649" s="8" t="s">
        <v>39</v>
      </c>
      <c r="Q649">
        <v>5.44</v>
      </c>
      <c r="R649">
        <v>17.8</v>
      </c>
      <c r="S649" t="s">
        <v>53</v>
      </c>
      <c r="T649">
        <v>9</v>
      </c>
      <c r="U649">
        <f t="shared" si="50"/>
        <v>48.96</v>
      </c>
      <c r="V649">
        <v>1.03</v>
      </c>
      <c r="W649">
        <v>0</v>
      </c>
      <c r="X649">
        <v>0</v>
      </c>
      <c r="Y649">
        <f t="shared" si="51"/>
        <v>0</v>
      </c>
      <c r="Z649">
        <f t="shared" si="52"/>
        <v>50.428800000000003</v>
      </c>
      <c r="AA649">
        <f t="shared" si="53"/>
        <v>50.428800000000003</v>
      </c>
      <c r="AB649">
        <f t="shared" si="54"/>
        <v>467.47497600000003</v>
      </c>
    </row>
    <row r="650" spans="1:28" ht="25.5" x14ac:dyDescent="0.25">
      <c r="A650" s="7">
        <v>649</v>
      </c>
      <c r="B650" s="7" t="s">
        <v>15</v>
      </c>
      <c r="C650" s="7" t="s">
        <v>34</v>
      </c>
      <c r="D650" s="7" t="s">
        <v>746</v>
      </c>
      <c r="E650" s="7"/>
      <c r="F650" s="8"/>
      <c r="G650" s="7" t="s">
        <v>746</v>
      </c>
      <c r="H650" s="9">
        <v>36.893067000000002</v>
      </c>
      <c r="I650" s="9">
        <v>10.207769000000001</v>
      </c>
      <c r="J650" s="7" t="s">
        <v>36</v>
      </c>
      <c r="K650" s="7" t="s">
        <v>37</v>
      </c>
      <c r="L650" s="7"/>
      <c r="M650" s="10">
        <v>23.64</v>
      </c>
      <c r="N650" s="7" t="s">
        <v>74</v>
      </c>
      <c r="O650" s="7"/>
      <c r="P650" s="8" t="s">
        <v>39</v>
      </c>
      <c r="Q650">
        <v>7.22</v>
      </c>
      <c r="R650">
        <v>19.600000000000001</v>
      </c>
      <c r="S650" t="s">
        <v>53</v>
      </c>
      <c r="T650">
        <v>10</v>
      </c>
      <c r="U650">
        <f t="shared" si="50"/>
        <v>72.2</v>
      </c>
      <c r="V650">
        <v>1.03</v>
      </c>
      <c r="W650">
        <v>0</v>
      </c>
      <c r="X650">
        <v>0</v>
      </c>
      <c r="Y650">
        <f t="shared" si="51"/>
        <v>0</v>
      </c>
      <c r="Z650">
        <f t="shared" si="52"/>
        <v>74.366</v>
      </c>
      <c r="AA650">
        <f t="shared" si="53"/>
        <v>74.366</v>
      </c>
      <c r="AB650">
        <f t="shared" si="54"/>
        <v>1758.01224</v>
      </c>
    </row>
    <row r="651" spans="1:28" ht="25.5" x14ac:dyDescent="0.25">
      <c r="A651" s="7">
        <v>650</v>
      </c>
      <c r="B651" s="7" t="s">
        <v>15</v>
      </c>
      <c r="C651" s="7" t="s">
        <v>41</v>
      </c>
      <c r="D651" s="7" t="s">
        <v>747</v>
      </c>
      <c r="E651" s="7"/>
      <c r="F651" s="8"/>
      <c r="G651" s="7" t="s">
        <v>747</v>
      </c>
      <c r="H651" s="9">
        <v>36.645068999999999</v>
      </c>
      <c r="I651" s="9">
        <v>9.5920240000000003</v>
      </c>
      <c r="J651" s="7" t="s">
        <v>43</v>
      </c>
      <c r="K651" s="7" t="s">
        <v>37</v>
      </c>
      <c r="L651" s="7"/>
      <c r="M651" s="10">
        <v>16.399999999999999</v>
      </c>
      <c r="N651" s="7" t="s">
        <v>78</v>
      </c>
      <c r="O651" s="7"/>
      <c r="P651" s="8" t="s">
        <v>39</v>
      </c>
      <c r="Q651">
        <v>6.69</v>
      </c>
      <c r="R651">
        <v>27.7</v>
      </c>
      <c r="S651" t="s">
        <v>58</v>
      </c>
      <c r="T651">
        <v>14</v>
      </c>
      <c r="U651">
        <f t="shared" si="50"/>
        <v>93.660000000000011</v>
      </c>
      <c r="V651">
        <v>0.9</v>
      </c>
      <c r="W651">
        <v>160</v>
      </c>
      <c r="X651">
        <v>0.35</v>
      </c>
      <c r="Y651">
        <f t="shared" si="51"/>
        <v>56</v>
      </c>
      <c r="Z651">
        <f t="shared" si="52"/>
        <v>84.294000000000011</v>
      </c>
      <c r="AA651">
        <f t="shared" si="53"/>
        <v>28.294000000000011</v>
      </c>
      <c r="AB651">
        <f t="shared" si="54"/>
        <v>464.02160000000015</v>
      </c>
    </row>
    <row r="652" spans="1:28" ht="25.5" x14ac:dyDescent="0.25">
      <c r="A652" s="7">
        <v>651</v>
      </c>
      <c r="B652" s="7" t="s">
        <v>15</v>
      </c>
      <c r="C652" s="7" t="s">
        <v>45</v>
      </c>
      <c r="D652" s="7" t="s">
        <v>748</v>
      </c>
      <c r="E652" s="7"/>
      <c r="F652" s="8"/>
      <c r="G652" s="7" t="s">
        <v>748</v>
      </c>
      <c r="H652" s="9">
        <v>36.628588999999998</v>
      </c>
      <c r="I652" s="9">
        <v>10.319618999999999</v>
      </c>
      <c r="J652" s="7" t="s">
        <v>47</v>
      </c>
      <c r="K652" s="7" t="s">
        <v>37</v>
      </c>
      <c r="L652" s="7"/>
      <c r="M652" s="10">
        <v>24.58</v>
      </c>
      <c r="N652" s="7" t="s">
        <v>38</v>
      </c>
      <c r="O652" s="7"/>
      <c r="P652" s="8" t="s">
        <v>39</v>
      </c>
      <c r="Q652">
        <v>3.76</v>
      </c>
      <c r="R652">
        <v>34.9</v>
      </c>
      <c r="S652" t="s">
        <v>58</v>
      </c>
      <c r="T652">
        <v>18</v>
      </c>
      <c r="U652">
        <f t="shared" si="50"/>
        <v>67.679999999999993</v>
      </c>
      <c r="V652">
        <v>0.9</v>
      </c>
      <c r="W652">
        <v>160</v>
      </c>
      <c r="X652">
        <v>0.35</v>
      </c>
      <c r="Y652">
        <f t="shared" si="51"/>
        <v>56</v>
      </c>
      <c r="Z652">
        <f t="shared" si="52"/>
        <v>60.911999999999992</v>
      </c>
      <c r="AA652">
        <f t="shared" si="53"/>
        <v>4.9119999999999919</v>
      </c>
      <c r="AB652">
        <f t="shared" si="54"/>
        <v>120.7369599999998</v>
      </c>
    </row>
    <row r="653" spans="1:28" ht="25.5" x14ac:dyDescent="0.25">
      <c r="A653" s="7">
        <v>652</v>
      </c>
      <c r="B653" s="7" t="s">
        <v>15</v>
      </c>
      <c r="C653" s="7" t="s">
        <v>49</v>
      </c>
      <c r="D653" s="7" t="s">
        <v>749</v>
      </c>
      <c r="E653" s="7"/>
      <c r="F653" s="8"/>
      <c r="G653" s="7" t="s">
        <v>749</v>
      </c>
      <c r="H653" s="9">
        <v>37.133986999999998</v>
      </c>
      <c r="I653" s="9">
        <v>9.7998370000000001</v>
      </c>
      <c r="J653" s="7" t="s">
        <v>51</v>
      </c>
      <c r="K653" s="7" t="s">
        <v>37</v>
      </c>
      <c r="L653" s="7"/>
      <c r="M653" s="10">
        <v>15.46</v>
      </c>
      <c r="N653" s="7" t="s">
        <v>44</v>
      </c>
      <c r="O653" s="7"/>
      <c r="P653" s="8" t="s">
        <v>39</v>
      </c>
      <c r="Q653">
        <v>6.11</v>
      </c>
      <c r="R653">
        <v>26.4</v>
      </c>
      <c r="S653" t="s">
        <v>58</v>
      </c>
      <c r="T653">
        <v>18</v>
      </c>
      <c r="U653">
        <f t="shared" si="50"/>
        <v>109.98</v>
      </c>
      <c r="V653">
        <v>0.9</v>
      </c>
      <c r="W653">
        <v>50</v>
      </c>
      <c r="X653">
        <v>0.35</v>
      </c>
      <c r="Y653">
        <f t="shared" si="51"/>
        <v>17.5</v>
      </c>
      <c r="Z653">
        <f t="shared" si="52"/>
        <v>98.981999999999999</v>
      </c>
      <c r="AA653">
        <f t="shared" si="53"/>
        <v>81.481999999999999</v>
      </c>
      <c r="AB653">
        <f t="shared" si="54"/>
        <v>1259.71172</v>
      </c>
    </row>
    <row r="654" spans="1:28" ht="25.5" x14ac:dyDescent="0.25">
      <c r="A654" s="7">
        <v>653</v>
      </c>
      <c r="B654" s="7" t="s">
        <v>15</v>
      </c>
      <c r="C654" s="7" t="s">
        <v>54</v>
      </c>
      <c r="D654" s="7" t="s">
        <v>750</v>
      </c>
      <c r="E654" s="7"/>
      <c r="F654" s="8"/>
      <c r="G654" s="7" t="s">
        <v>750</v>
      </c>
      <c r="H654" s="9">
        <v>33.658045000000001</v>
      </c>
      <c r="I654" s="9">
        <v>10.293656</v>
      </c>
      <c r="J654" s="7" t="s">
        <v>56</v>
      </c>
      <c r="K654" s="7" t="s">
        <v>37</v>
      </c>
      <c r="L654" s="7"/>
      <c r="M654" s="10">
        <v>4.6500000000000004</v>
      </c>
      <c r="N654" s="7" t="s">
        <v>48</v>
      </c>
      <c r="O654" s="7"/>
      <c r="P654" s="8" t="s">
        <v>39</v>
      </c>
      <c r="Q654">
        <v>4.87</v>
      </c>
      <c r="R654">
        <v>20.6</v>
      </c>
      <c r="S654" t="s">
        <v>53</v>
      </c>
      <c r="T654">
        <v>16</v>
      </c>
      <c r="U654">
        <f t="shared" si="50"/>
        <v>77.92</v>
      </c>
      <c r="V654">
        <v>1.03</v>
      </c>
      <c r="W654">
        <v>120</v>
      </c>
      <c r="X654">
        <v>0.35</v>
      </c>
      <c r="Y654">
        <f t="shared" si="51"/>
        <v>42</v>
      </c>
      <c r="Z654">
        <f t="shared" si="52"/>
        <v>80.257600000000011</v>
      </c>
      <c r="AA654">
        <f t="shared" si="53"/>
        <v>38.257600000000011</v>
      </c>
      <c r="AB654">
        <f t="shared" si="54"/>
        <v>177.89784000000006</v>
      </c>
    </row>
    <row r="655" spans="1:28" ht="25.5" x14ac:dyDescent="0.25">
      <c r="A655" s="7">
        <v>654</v>
      </c>
      <c r="B655" s="7" t="s">
        <v>15</v>
      </c>
      <c r="C655" s="7" t="s">
        <v>59</v>
      </c>
      <c r="D655" s="7" t="s">
        <v>751</v>
      </c>
      <c r="E655" s="7"/>
      <c r="F655" s="8"/>
      <c r="G655" s="7" t="s">
        <v>751</v>
      </c>
      <c r="H655" s="9">
        <v>34.309252999999998</v>
      </c>
      <c r="I655" s="9">
        <v>8.3763930000000002</v>
      </c>
      <c r="J655" s="7" t="s">
        <v>61</v>
      </c>
      <c r="K655" s="7" t="s">
        <v>37</v>
      </c>
      <c r="L655" s="7"/>
      <c r="M655" s="10">
        <v>3.81</v>
      </c>
      <c r="N655" s="7" t="s">
        <v>52</v>
      </c>
      <c r="O655" s="7"/>
      <c r="P655" s="8" t="s">
        <v>39</v>
      </c>
      <c r="Q655">
        <v>3.65</v>
      </c>
      <c r="R655">
        <v>35.9</v>
      </c>
      <c r="S655" t="s">
        <v>40</v>
      </c>
      <c r="T655">
        <v>12</v>
      </c>
      <c r="U655">
        <f t="shared" si="50"/>
        <v>43.8</v>
      </c>
      <c r="V655">
        <v>0.66</v>
      </c>
      <c r="W655">
        <v>120</v>
      </c>
      <c r="X655">
        <v>0.35</v>
      </c>
      <c r="Y655">
        <f t="shared" si="51"/>
        <v>42</v>
      </c>
      <c r="Z655">
        <f t="shared" si="52"/>
        <v>28.908000000000001</v>
      </c>
      <c r="AA655">
        <f t="shared" si="53"/>
        <v>0</v>
      </c>
      <c r="AB655">
        <f t="shared" si="54"/>
        <v>0</v>
      </c>
    </row>
    <row r="656" spans="1:28" ht="25.5" x14ac:dyDescent="0.25">
      <c r="A656" s="7">
        <v>655</v>
      </c>
      <c r="B656" s="7" t="s">
        <v>15</v>
      </c>
      <c r="C656" s="7" t="s">
        <v>63</v>
      </c>
      <c r="D656" s="7" t="s">
        <v>752</v>
      </c>
      <c r="E656" s="7"/>
      <c r="F656" s="8"/>
      <c r="G656" s="7" t="s">
        <v>752</v>
      </c>
      <c r="H656" s="9">
        <v>36.965238999999997</v>
      </c>
      <c r="I656" s="9">
        <v>8.7387990000000002</v>
      </c>
      <c r="J656" s="7" t="s">
        <v>65</v>
      </c>
      <c r="K656" s="7" t="s">
        <v>37</v>
      </c>
      <c r="L656" s="7"/>
      <c r="M656" s="10">
        <v>5.59</v>
      </c>
      <c r="N656" s="7" t="s">
        <v>57</v>
      </c>
      <c r="O656" s="7"/>
      <c r="P656" s="8" t="s">
        <v>39</v>
      </c>
      <c r="Q656">
        <v>7.39</v>
      </c>
      <c r="R656">
        <v>44.9</v>
      </c>
      <c r="S656" t="s">
        <v>40</v>
      </c>
      <c r="T656">
        <v>8</v>
      </c>
      <c r="U656">
        <f t="shared" si="50"/>
        <v>59.12</v>
      </c>
      <c r="V656">
        <v>0.72</v>
      </c>
      <c r="W656">
        <v>0</v>
      </c>
      <c r="X656">
        <v>0</v>
      </c>
      <c r="Y656">
        <f t="shared" si="51"/>
        <v>0</v>
      </c>
      <c r="Z656">
        <f t="shared" si="52"/>
        <v>42.566399999999994</v>
      </c>
      <c r="AA656">
        <f t="shared" si="53"/>
        <v>42.566399999999994</v>
      </c>
      <c r="AB656">
        <f t="shared" si="54"/>
        <v>237.94617599999995</v>
      </c>
    </row>
    <row r="657" spans="1:28" ht="25.5" x14ac:dyDescent="0.25">
      <c r="A657" s="7">
        <v>656</v>
      </c>
      <c r="B657" s="7" t="s">
        <v>15</v>
      </c>
      <c r="C657" s="7" t="s">
        <v>67</v>
      </c>
      <c r="D657" s="7" t="s">
        <v>753</v>
      </c>
      <c r="E657" s="7"/>
      <c r="F657" s="8"/>
      <c r="G657" s="7" t="s">
        <v>753</v>
      </c>
      <c r="H657" s="9">
        <v>35.626711999999998</v>
      </c>
      <c r="I657" s="9">
        <v>9.9091450000000005</v>
      </c>
      <c r="J657" s="7" t="s">
        <v>69</v>
      </c>
      <c r="K657" s="7" t="s">
        <v>37</v>
      </c>
      <c r="L657" s="7"/>
      <c r="M657" s="10">
        <v>23.54</v>
      </c>
      <c r="N657" s="7" t="s">
        <v>62</v>
      </c>
      <c r="O657" s="7"/>
      <c r="P657" s="8" t="s">
        <v>39</v>
      </c>
      <c r="Q657">
        <v>4.5</v>
      </c>
      <c r="R657">
        <v>27</v>
      </c>
      <c r="S657" t="s">
        <v>58</v>
      </c>
      <c r="T657">
        <v>7</v>
      </c>
      <c r="U657">
        <f t="shared" si="50"/>
        <v>31.5</v>
      </c>
      <c r="V657">
        <v>0.99</v>
      </c>
      <c r="W657">
        <v>120</v>
      </c>
      <c r="X657">
        <v>0.35</v>
      </c>
      <c r="Y657">
        <f t="shared" si="51"/>
        <v>42</v>
      </c>
      <c r="Z657">
        <f t="shared" si="52"/>
        <v>31.184999999999999</v>
      </c>
      <c r="AA657">
        <f t="shared" si="53"/>
        <v>0</v>
      </c>
      <c r="AB657">
        <f t="shared" si="54"/>
        <v>0</v>
      </c>
    </row>
    <row r="658" spans="1:28" ht="25.5" x14ac:dyDescent="0.25">
      <c r="A658" s="7">
        <v>657</v>
      </c>
      <c r="B658" s="7" t="s">
        <v>15</v>
      </c>
      <c r="C658" s="7" t="s">
        <v>71</v>
      </c>
      <c r="D658" s="7" t="s">
        <v>754</v>
      </c>
      <c r="E658" s="7"/>
      <c r="F658" s="8"/>
      <c r="G658" s="7" t="s">
        <v>754</v>
      </c>
      <c r="H658" s="9">
        <v>35.230964</v>
      </c>
      <c r="I658" s="9">
        <v>9.1011930000000003</v>
      </c>
      <c r="J658" s="7" t="s">
        <v>73</v>
      </c>
      <c r="K658" s="7" t="s">
        <v>37</v>
      </c>
      <c r="L658" s="7"/>
      <c r="M658" s="10">
        <v>16.829999999999998</v>
      </c>
      <c r="N658" s="7" t="s">
        <v>66</v>
      </c>
      <c r="O658" s="7"/>
      <c r="P658" s="8" t="s">
        <v>39</v>
      </c>
      <c r="Q658">
        <v>6.42</v>
      </c>
      <c r="R658">
        <v>34.6</v>
      </c>
      <c r="S658" t="s">
        <v>58</v>
      </c>
      <c r="T658">
        <v>10</v>
      </c>
      <c r="U658">
        <f t="shared" si="50"/>
        <v>64.2</v>
      </c>
      <c r="V658">
        <v>0.72</v>
      </c>
      <c r="W658">
        <v>0</v>
      </c>
      <c r="X658">
        <v>0</v>
      </c>
      <c r="Y658">
        <f t="shared" si="51"/>
        <v>0</v>
      </c>
      <c r="Z658">
        <f t="shared" si="52"/>
        <v>46.224000000000004</v>
      </c>
      <c r="AA658">
        <f t="shared" si="53"/>
        <v>46.224000000000004</v>
      </c>
      <c r="AB658">
        <f t="shared" si="54"/>
        <v>777.94992000000002</v>
      </c>
    </row>
    <row r="659" spans="1:28" ht="25.5" x14ac:dyDescent="0.25">
      <c r="A659" s="7">
        <v>658</v>
      </c>
      <c r="B659" s="7" t="s">
        <v>15</v>
      </c>
      <c r="C659" s="7" t="s">
        <v>75</v>
      </c>
      <c r="D659" s="7" t="s">
        <v>755</v>
      </c>
      <c r="E659" s="7"/>
      <c r="F659" s="8"/>
      <c r="G659" s="7" t="s">
        <v>755</v>
      </c>
      <c r="H659" s="9">
        <v>33.450018999999998</v>
      </c>
      <c r="I659" s="9">
        <v>9.0324200000000001</v>
      </c>
      <c r="J659" s="7" t="s">
        <v>77</v>
      </c>
      <c r="K659" s="7" t="s">
        <v>37</v>
      </c>
      <c r="L659" s="7"/>
      <c r="M659" s="10">
        <v>24.45</v>
      </c>
      <c r="N659" s="7" t="s">
        <v>70</v>
      </c>
      <c r="O659" s="7"/>
      <c r="P659" s="8" t="s">
        <v>39</v>
      </c>
      <c r="Q659">
        <v>7.1</v>
      </c>
      <c r="R659">
        <v>17.600000000000001</v>
      </c>
      <c r="S659" t="s">
        <v>53</v>
      </c>
      <c r="T659">
        <v>9</v>
      </c>
      <c r="U659">
        <f t="shared" si="50"/>
        <v>63.9</v>
      </c>
      <c r="V659">
        <v>1.03</v>
      </c>
      <c r="W659">
        <v>120</v>
      </c>
      <c r="X659">
        <v>0.35</v>
      </c>
      <c r="Y659">
        <f t="shared" si="51"/>
        <v>42</v>
      </c>
      <c r="Z659">
        <f t="shared" si="52"/>
        <v>65.817000000000007</v>
      </c>
      <c r="AA659">
        <f t="shared" si="53"/>
        <v>23.817000000000007</v>
      </c>
      <c r="AB659">
        <f t="shared" si="54"/>
        <v>582.32565000000011</v>
      </c>
    </row>
    <row r="660" spans="1:28" ht="25.5" x14ac:dyDescent="0.25">
      <c r="A660" s="7">
        <v>659</v>
      </c>
      <c r="B660" s="7" t="s">
        <v>15</v>
      </c>
      <c r="C660" s="7" t="s">
        <v>79</v>
      </c>
      <c r="D660" s="7" t="s">
        <v>756</v>
      </c>
      <c r="E660" s="7"/>
      <c r="F660" s="8"/>
      <c r="G660" s="7" t="s">
        <v>756</v>
      </c>
      <c r="H660" s="9">
        <v>35.923642999999998</v>
      </c>
      <c r="I660" s="9">
        <v>8.8293359999999996</v>
      </c>
      <c r="J660" s="7" t="s">
        <v>81</v>
      </c>
      <c r="K660" s="7" t="s">
        <v>37</v>
      </c>
      <c r="L660" s="7"/>
      <c r="M660" s="10">
        <v>13.43</v>
      </c>
      <c r="N660" s="7" t="s">
        <v>74</v>
      </c>
      <c r="O660" s="7"/>
      <c r="P660" s="8" t="s">
        <v>39</v>
      </c>
      <c r="Q660">
        <v>6.59</v>
      </c>
      <c r="R660">
        <v>35.4</v>
      </c>
      <c r="S660" t="s">
        <v>40</v>
      </c>
      <c r="T660">
        <v>10</v>
      </c>
      <c r="U660">
        <f t="shared" si="50"/>
        <v>65.900000000000006</v>
      </c>
      <c r="V660">
        <v>0.54</v>
      </c>
      <c r="W660">
        <v>160</v>
      </c>
      <c r="X660">
        <v>0.35</v>
      </c>
      <c r="Y660">
        <f t="shared" si="51"/>
        <v>56</v>
      </c>
      <c r="Z660">
        <f t="shared" si="52"/>
        <v>35.586000000000006</v>
      </c>
      <c r="AA660">
        <f t="shared" si="53"/>
        <v>0</v>
      </c>
      <c r="AB660">
        <f t="shared" si="54"/>
        <v>0</v>
      </c>
    </row>
    <row r="661" spans="1:28" ht="25.5" x14ac:dyDescent="0.25">
      <c r="A661" s="7">
        <v>660</v>
      </c>
      <c r="B661" s="7" t="s">
        <v>15</v>
      </c>
      <c r="C661" s="7" t="s">
        <v>82</v>
      </c>
      <c r="D661" s="7" t="s">
        <v>757</v>
      </c>
      <c r="E661" s="7"/>
      <c r="F661" s="8"/>
      <c r="G661" s="7" t="s">
        <v>757</v>
      </c>
      <c r="H661" s="9">
        <v>35.237170999999996</v>
      </c>
      <c r="I661" s="9">
        <v>11.130895000000001</v>
      </c>
      <c r="J661" s="7" t="s">
        <v>84</v>
      </c>
      <c r="K661" s="7" t="s">
        <v>37</v>
      </c>
      <c r="L661" s="7"/>
      <c r="M661" s="10">
        <v>11.11</v>
      </c>
      <c r="N661" s="7" t="s">
        <v>78</v>
      </c>
      <c r="O661" s="7"/>
      <c r="P661" s="8" t="s">
        <v>39</v>
      </c>
      <c r="Q661">
        <v>4.62</v>
      </c>
      <c r="R661">
        <v>22.7</v>
      </c>
      <c r="S661" t="s">
        <v>53</v>
      </c>
      <c r="T661">
        <v>14</v>
      </c>
      <c r="U661">
        <f t="shared" si="50"/>
        <v>64.680000000000007</v>
      </c>
      <c r="V661">
        <v>1.1499999999999999</v>
      </c>
      <c r="W661">
        <v>120</v>
      </c>
      <c r="X661">
        <v>0.35</v>
      </c>
      <c r="Y661">
        <f t="shared" si="51"/>
        <v>42</v>
      </c>
      <c r="Z661">
        <f t="shared" si="52"/>
        <v>74.382000000000005</v>
      </c>
      <c r="AA661">
        <f t="shared" si="53"/>
        <v>32.382000000000005</v>
      </c>
      <c r="AB661">
        <f t="shared" si="54"/>
        <v>359.76402000000002</v>
      </c>
    </row>
    <row r="662" spans="1:28" ht="25.5" x14ac:dyDescent="0.25">
      <c r="A662" s="7">
        <v>661</v>
      </c>
      <c r="B662" s="7" t="s">
        <v>15</v>
      </c>
      <c r="C662" s="7" t="s">
        <v>85</v>
      </c>
      <c r="D662" s="7" t="s">
        <v>758</v>
      </c>
      <c r="E662" s="7"/>
      <c r="F662" s="8"/>
      <c r="G662" s="7" t="s">
        <v>758</v>
      </c>
      <c r="H662" s="9">
        <v>36.811698999999997</v>
      </c>
      <c r="I662" s="9">
        <v>9.8588629999999995</v>
      </c>
      <c r="J662" s="7" t="s">
        <v>87</v>
      </c>
      <c r="K662" s="7" t="s">
        <v>37</v>
      </c>
      <c r="L662" s="7"/>
      <c r="M662" s="10">
        <v>10.7</v>
      </c>
      <c r="N662" s="7" t="s">
        <v>38</v>
      </c>
      <c r="O662" s="7"/>
      <c r="P662" s="8" t="s">
        <v>39</v>
      </c>
      <c r="Q662">
        <v>7.06</v>
      </c>
      <c r="R662">
        <v>40.799999999999997</v>
      </c>
      <c r="S662" t="s">
        <v>40</v>
      </c>
      <c r="T662">
        <v>18</v>
      </c>
      <c r="U662">
        <f t="shared" si="50"/>
        <v>127.08</v>
      </c>
      <c r="V662">
        <v>0.6</v>
      </c>
      <c r="W662">
        <v>80</v>
      </c>
      <c r="X662">
        <v>0.35</v>
      </c>
      <c r="Y662">
        <f t="shared" si="51"/>
        <v>28</v>
      </c>
      <c r="Z662">
        <f t="shared" si="52"/>
        <v>76.24799999999999</v>
      </c>
      <c r="AA662">
        <f t="shared" si="53"/>
        <v>48.24799999999999</v>
      </c>
      <c r="AB662">
        <f t="shared" si="54"/>
        <v>516.25359999999989</v>
      </c>
    </row>
    <row r="663" spans="1:28" ht="25.5" x14ac:dyDescent="0.25">
      <c r="A663" s="7">
        <v>662</v>
      </c>
      <c r="B663" s="7" t="s">
        <v>15</v>
      </c>
      <c r="C663" s="7" t="s">
        <v>88</v>
      </c>
      <c r="D663" s="7" t="s">
        <v>759</v>
      </c>
      <c r="E663" s="7"/>
      <c r="F663" s="8"/>
      <c r="G663" s="7" t="s">
        <v>759</v>
      </c>
      <c r="H663" s="9">
        <v>33.801488999999997</v>
      </c>
      <c r="I663" s="9">
        <v>10.994616000000001</v>
      </c>
      <c r="J663" s="7" t="s">
        <v>90</v>
      </c>
      <c r="K663" s="7" t="s">
        <v>37</v>
      </c>
      <c r="L663" s="7"/>
      <c r="M663" s="10">
        <v>1.03</v>
      </c>
      <c r="N663" s="7" t="s">
        <v>44</v>
      </c>
      <c r="O663" s="7"/>
      <c r="P663" s="8" t="s">
        <v>39</v>
      </c>
      <c r="Q663">
        <v>4.8499999999999996</v>
      </c>
      <c r="R663">
        <v>20.399999999999999</v>
      </c>
      <c r="S663" t="s">
        <v>53</v>
      </c>
      <c r="T663">
        <v>18</v>
      </c>
      <c r="U663">
        <f t="shared" si="50"/>
        <v>87.3</v>
      </c>
      <c r="V663">
        <v>1.1499999999999999</v>
      </c>
      <c r="W663">
        <v>160</v>
      </c>
      <c r="X663">
        <v>0.35</v>
      </c>
      <c r="Y663">
        <f t="shared" si="51"/>
        <v>56</v>
      </c>
      <c r="Z663">
        <f t="shared" si="52"/>
        <v>100.395</v>
      </c>
      <c r="AA663">
        <f t="shared" si="53"/>
        <v>44.394999999999996</v>
      </c>
      <c r="AB663">
        <f t="shared" si="54"/>
        <v>45.726849999999999</v>
      </c>
    </row>
    <row r="664" spans="1:28" ht="25.5" x14ac:dyDescent="0.25">
      <c r="A664" s="7">
        <v>663</v>
      </c>
      <c r="B664" s="7" t="s">
        <v>15</v>
      </c>
      <c r="C664" s="7" t="s">
        <v>92</v>
      </c>
      <c r="D664" s="7" t="s">
        <v>760</v>
      </c>
      <c r="E664" s="7"/>
      <c r="F664" s="8"/>
      <c r="G664" s="7" t="s">
        <v>760</v>
      </c>
      <c r="H664" s="9">
        <v>35.619489000000002</v>
      </c>
      <c r="I664" s="9">
        <v>10.767901</v>
      </c>
      <c r="J664" s="7" t="s">
        <v>94</v>
      </c>
      <c r="K664" s="7" t="s">
        <v>37</v>
      </c>
      <c r="L664" s="7"/>
      <c r="M664" s="10">
        <v>6.15</v>
      </c>
      <c r="N664" s="7" t="s">
        <v>48</v>
      </c>
      <c r="O664" s="7"/>
      <c r="P664" s="8" t="s">
        <v>39</v>
      </c>
      <c r="Q664">
        <v>6.76</v>
      </c>
      <c r="R664">
        <v>10</v>
      </c>
      <c r="S664" t="s">
        <v>91</v>
      </c>
      <c r="T664">
        <v>16</v>
      </c>
      <c r="U664">
        <f t="shared" si="50"/>
        <v>108.16</v>
      </c>
      <c r="V664">
        <v>1.22</v>
      </c>
      <c r="W664">
        <v>120</v>
      </c>
      <c r="X664">
        <v>0.35</v>
      </c>
      <c r="Y664">
        <f t="shared" si="51"/>
        <v>42</v>
      </c>
      <c r="Z664">
        <f t="shared" si="52"/>
        <v>131.95519999999999</v>
      </c>
      <c r="AA664">
        <f t="shared" si="53"/>
        <v>89.955199999999991</v>
      </c>
      <c r="AB664">
        <f t="shared" si="54"/>
        <v>553.22447999999997</v>
      </c>
    </row>
    <row r="665" spans="1:28" ht="25.5" x14ac:dyDescent="0.25">
      <c r="A665" s="7">
        <v>664</v>
      </c>
      <c r="B665" s="7" t="s">
        <v>15</v>
      </c>
      <c r="C665" s="7" t="s">
        <v>95</v>
      </c>
      <c r="D665" s="7" t="s">
        <v>761</v>
      </c>
      <c r="E665" s="7"/>
      <c r="F665" s="8"/>
      <c r="G665" s="7" t="s">
        <v>761</v>
      </c>
      <c r="H665" s="9">
        <v>36.577717999999997</v>
      </c>
      <c r="I665" s="9">
        <v>10.876599000000001</v>
      </c>
      <c r="J665" s="7" t="s">
        <v>97</v>
      </c>
      <c r="K665" s="7" t="s">
        <v>37</v>
      </c>
      <c r="L665" s="7"/>
      <c r="M665" s="10">
        <v>24.82</v>
      </c>
      <c r="N665" s="7" t="s">
        <v>52</v>
      </c>
      <c r="O665" s="7"/>
      <c r="P665" s="8" t="s">
        <v>39</v>
      </c>
      <c r="Q665">
        <v>5.19</v>
      </c>
      <c r="R665">
        <v>15.2</v>
      </c>
      <c r="S665" t="s">
        <v>53</v>
      </c>
      <c r="T665">
        <v>12</v>
      </c>
      <c r="U665">
        <f t="shared" si="50"/>
        <v>62.28</v>
      </c>
      <c r="V665">
        <v>1.26</v>
      </c>
      <c r="W665">
        <v>120</v>
      </c>
      <c r="X665">
        <v>0.35</v>
      </c>
      <c r="Y665">
        <f t="shared" si="51"/>
        <v>42</v>
      </c>
      <c r="Z665">
        <f t="shared" si="52"/>
        <v>78.472800000000007</v>
      </c>
      <c r="AA665">
        <f t="shared" si="53"/>
        <v>36.472800000000007</v>
      </c>
      <c r="AB665">
        <f t="shared" si="54"/>
        <v>905.25489600000014</v>
      </c>
    </row>
    <row r="666" spans="1:28" ht="25.5" x14ac:dyDescent="0.25">
      <c r="A666" s="7">
        <v>665</v>
      </c>
      <c r="B666" s="7" t="s">
        <v>15</v>
      </c>
      <c r="C666" s="7" t="s">
        <v>98</v>
      </c>
      <c r="D666" s="7" t="s">
        <v>762</v>
      </c>
      <c r="E666" s="7"/>
      <c r="F666" s="8"/>
      <c r="G666" s="7" t="s">
        <v>762</v>
      </c>
      <c r="H666" s="9">
        <v>34.753843000000003</v>
      </c>
      <c r="I666" s="9">
        <v>10.479404000000001</v>
      </c>
      <c r="J666" s="7" t="s">
        <v>100</v>
      </c>
      <c r="K666" s="7" t="s">
        <v>37</v>
      </c>
      <c r="L666" s="7"/>
      <c r="M666" s="10">
        <v>9.94</v>
      </c>
      <c r="N666" s="7" t="s">
        <v>57</v>
      </c>
      <c r="O666" s="7"/>
      <c r="P666" s="8" t="s">
        <v>39</v>
      </c>
      <c r="Q666">
        <v>4.75</v>
      </c>
      <c r="R666">
        <v>16.5</v>
      </c>
      <c r="S666" t="s">
        <v>53</v>
      </c>
      <c r="T666">
        <v>8</v>
      </c>
      <c r="U666">
        <f t="shared" si="50"/>
        <v>38</v>
      </c>
      <c r="V666">
        <v>1.38</v>
      </c>
      <c r="W666">
        <v>160</v>
      </c>
      <c r="X666">
        <v>0.35</v>
      </c>
      <c r="Y666">
        <f t="shared" si="51"/>
        <v>56</v>
      </c>
      <c r="Z666">
        <f t="shared" si="52"/>
        <v>52.44</v>
      </c>
      <c r="AA666">
        <f t="shared" si="53"/>
        <v>0</v>
      </c>
      <c r="AB666">
        <f t="shared" si="54"/>
        <v>0</v>
      </c>
    </row>
    <row r="667" spans="1:28" ht="25.5" x14ac:dyDescent="0.25">
      <c r="A667" s="7">
        <v>666</v>
      </c>
      <c r="B667" s="7" t="s">
        <v>15</v>
      </c>
      <c r="C667" s="7" t="s">
        <v>101</v>
      </c>
      <c r="D667" s="7" t="s">
        <v>763</v>
      </c>
      <c r="E667" s="7"/>
      <c r="F667" s="8"/>
      <c r="G667" s="7" t="s">
        <v>763</v>
      </c>
      <c r="H667" s="9">
        <v>34.894939999999998</v>
      </c>
      <c r="I667" s="9">
        <v>9.7736940000000008</v>
      </c>
      <c r="J667" s="7" t="s">
        <v>103</v>
      </c>
      <c r="K667" s="7" t="s">
        <v>37</v>
      </c>
      <c r="L667" s="7"/>
      <c r="M667" s="10">
        <v>14.57</v>
      </c>
      <c r="N667" s="7" t="s">
        <v>62</v>
      </c>
      <c r="O667" s="7"/>
      <c r="P667" s="8" t="s">
        <v>39</v>
      </c>
      <c r="Q667">
        <v>4.54</v>
      </c>
      <c r="R667">
        <v>39.799999999999997</v>
      </c>
      <c r="S667" t="s">
        <v>40</v>
      </c>
      <c r="T667">
        <v>7</v>
      </c>
      <c r="U667">
        <f t="shared" si="50"/>
        <v>31.78</v>
      </c>
      <c r="V667">
        <v>0.66</v>
      </c>
      <c r="W667">
        <v>0</v>
      </c>
      <c r="X667">
        <v>0</v>
      </c>
      <c r="Y667">
        <f t="shared" si="51"/>
        <v>0</v>
      </c>
      <c r="Z667">
        <f t="shared" si="52"/>
        <v>20.974800000000002</v>
      </c>
      <c r="AA667">
        <f t="shared" si="53"/>
        <v>20.974800000000002</v>
      </c>
      <c r="AB667">
        <f t="shared" si="54"/>
        <v>305.60283600000002</v>
      </c>
    </row>
    <row r="668" spans="1:28" ht="25.5" x14ac:dyDescent="0.25">
      <c r="A668" s="7">
        <v>667</v>
      </c>
      <c r="B668" s="7" t="s">
        <v>15</v>
      </c>
      <c r="C668" s="7" t="s">
        <v>104</v>
      </c>
      <c r="D668" s="7" t="s">
        <v>764</v>
      </c>
      <c r="E668" s="7"/>
      <c r="F668" s="8"/>
      <c r="G668" s="7" t="s">
        <v>764</v>
      </c>
      <c r="H668" s="9">
        <v>35.840280999999997</v>
      </c>
      <c r="I668" s="9">
        <v>9.2188599999999994</v>
      </c>
      <c r="J668" s="7" t="s">
        <v>106</v>
      </c>
      <c r="K668" s="7" t="s">
        <v>37</v>
      </c>
      <c r="L668" s="7"/>
      <c r="M668" s="10">
        <v>16.170000000000002</v>
      </c>
      <c r="N668" s="7" t="s">
        <v>66</v>
      </c>
      <c r="O668" s="7"/>
      <c r="P668" s="8" t="s">
        <v>39</v>
      </c>
      <c r="Q668">
        <v>7.6</v>
      </c>
      <c r="R668">
        <v>25.7</v>
      </c>
      <c r="S668" t="s">
        <v>58</v>
      </c>
      <c r="T668">
        <v>10</v>
      </c>
      <c r="U668">
        <f t="shared" si="50"/>
        <v>76</v>
      </c>
      <c r="V668">
        <v>0.72</v>
      </c>
      <c r="W668">
        <v>0</v>
      </c>
      <c r="X668">
        <v>0</v>
      </c>
      <c r="Y668">
        <f t="shared" si="51"/>
        <v>0</v>
      </c>
      <c r="Z668">
        <f t="shared" si="52"/>
        <v>54.72</v>
      </c>
      <c r="AA668">
        <f t="shared" si="53"/>
        <v>54.72</v>
      </c>
      <c r="AB668">
        <f t="shared" si="54"/>
        <v>884.82240000000013</v>
      </c>
    </row>
    <row r="669" spans="1:28" ht="25.5" x14ac:dyDescent="0.25">
      <c r="A669" s="7">
        <v>668</v>
      </c>
      <c r="B669" s="7" t="s">
        <v>15</v>
      </c>
      <c r="C669" s="7" t="s">
        <v>107</v>
      </c>
      <c r="D669" s="7" t="s">
        <v>765</v>
      </c>
      <c r="E669" s="7"/>
      <c r="F669" s="8"/>
      <c r="G669" s="7" t="s">
        <v>765</v>
      </c>
      <c r="H669" s="9">
        <v>36.127166000000003</v>
      </c>
      <c r="I669" s="9">
        <v>10.370988000000001</v>
      </c>
      <c r="J669" s="7" t="s">
        <v>109</v>
      </c>
      <c r="K669" s="7" t="s">
        <v>37</v>
      </c>
      <c r="L669" s="7"/>
      <c r="M669" s="10">
        <v>1.05</v>
      </c>
      <c r="N669" s="7" t="s">
        <v>70</v>
      </c>
      <c r="O669" s="7"/>
      <c r="P669" s="8" t="s">
        <v>39</v>
      </c>
      <c r="Q669">
        <v>6.11</v>
      </c>
      <c r="R669">
        <v>39</v>
      </c>
      <c r="S669" t="s">
        <v>40</v>
      </c>
      <c r="T669">
        <v>9</v>
      </c>
      <c r="U669">
        <f t="shared" si="50"/>
        <v>54.99</v>
      </c>
      <c r="V669">
        <v>0.54</v>
      </c>
      <c r="W669">
        <v>120</v>
      </c>
      <c r="X669">
        <v>0.35</v>
      </c>
      <c r="Y669">
        <f t="shared" si="51"/>
        <v>42</v>
      </c>
      <c r="Z669">
        <f t="shared" si="52"/>
        <v>29.694600000000005</v>
      </c>
      <c r="AA669">
        <f t="shared" si="53"/>
        <v>0</v>
      </c>
      <c r="AB669">
        <f t="shared" si="54"/>
        <v>0</v>
      </c>
    </row>
    <row r="670" spans="1:28" ht="25.5" x14ac:dyDescent="0.25">
      <c r="A670" s="7">
        <v>669</v>
      </c>
      <c r="B670" s="7" t="s">
        <v>15</v>
      </c>
      <c r="C670" s="7" t="s">
        <v>110</v>
      </c>
      <c r="D670" s="7" t="s">
        <v>766</v>
      </c>
      <c r="E670" s="7"/>
      <c r="F670" s="8"/>
      <c r="G670" s="7" t="s">
        <v>766</v>
      </c>
      <c r="H670" s="9">
        <v>33.156160999999997</v>
      </c>
      <c r="I670" s="9">
        <v>10.227005</v>
      </c>
      <c r="J670" s="7" t="s">
        <v>112</v>
      </c>
      <c r="K670" s="7" t="s">
        <v>37</v>
      </c>
      <c r="L670" s="7"/>
      <c r="M670" s="10">
        <v>15.99</v>
      </c>
      <c r="N670" s="7" t="s">
        <v>74</v>
      </c>
      <c r="O670" s="7"/>
      <c r="P670" s="8" t="s">
        <v>39</v>
      </c>
      <c r="Q670">
        <v>6.48</v>
      </c>
      <c r="R670">
        <v>19.5</v>
      </c>
      <c r="S670" t="s">
        <v>53</v>
      </c>
      <c r="T670">
        <v>10</v>
      </c>
      <c r="U670">
        <f t="shared" si="50"/>
        <v>64.800000000000011</v>
      </c>
      <c r="V670">
        <v>1.03</v>
      </c>
      <c r="W670">
        <v>120</v>
      </c>
      <c r="X670">
        <v>0.35</v>
      </c>
      <c r="Y670">
        <f t="shared" si="51"/>
        <v>42</v>
      </c>
      <c r="Z670">
        <f t="shared" si="52"/>
        <v>66.744000000000014</v>
      </c>
      <c r="AA670">
        <f t="shared" si="53"/>
        <v>24.744000000000014</v>
      </c>
      <c r="AB670">
        <f t="shared" si="54"/>
        <v>395.65656000000024</v>
      </c>
    </row>
    <row r="671" spans="1:28" ht="25.5" x14ac:dyDescent="0.25">
      <c r="A671" s="7">
        <v>670</v>
      </c>
      <c r="B671" s="7" t="s">
        <v>15</v>
      </c>
      <c r="C671" s="7" t="s">
        <v>113</v>
      </c>
      <c r="D671" s="7" t="s">
        <v>767</v>
      </c>
      <c r="E671" s="7"/>
      <c r="F671" s="8"/>
      <c r="G671" s="7" t="s">
        <v>767</v>
      </c>
      <c r="H671" s="9">
        <v>33.859819999999999</v>
      </c>
      <c r="I671" s="9">
        <v>7.8946180000000004</v>
      </c>
      <c r="J671" s="7" t="s">
        <v>115</v>
      </c>
      <c r="K671" s="7" t="s">
        <v>37</v>
      </c>
      <c r="L671" s="7"/>
      <c r="M671" s="10">
        <v>21.6</v>
      </c>
      <c r="N671" s="7" t="s">
        <v>78</v>
      </c>
      <c r="O671" s="7"/>
      <c r="P671" s="8" t="s">
        <v>39</v>
      </c>
      <c r="Q671">
        <v>7.48</v>
      </c>
      <c r="R671">
        <v>38.299999999999997</v>
      </c>
      <c r="S671" t="s">
        <v>40</v>
      </c>
      <c r="T671">
        <v>14</v>
      </c>
      <c r="U671">
        <f t="shared" si="50"/>
        <v>104.72</v>
      </c>
      <c r="V671">
        <v>0.6</v>
      </c>
      <c r="W671">
        <v>0</v>
      </c>
      <c r="X671">
        <v>0</v>
      </c>
      <c r="Y671">
        <f t="shared" si="51"/>
        <v>0</v>
      </c>
      <c r="Z671">
        <f t="shared" si="52"/>
        <v>62.831999999999994</v>
      </c>
      <c r="AA671">
        <f t="shared" si="53"/>
        <v>62.831999999999994</v>
      </c>
      <c r="AB671">
        <f t="shared" si="54"/>
        <v>1357.1712</v>
      </c>
    </row>
    <row r="672" spans="1:28" ht="25.5" x14ac:dyDescent="0.25">
      <c r="A672" s="7">
        <v>671</v>
      </c>
      <c r="B672" s="7" t="s">
        <v>15</v>
      </c>
      <c r="C672" s="7" t="s">
        <v>116</v>
      </c>
      <c r="D672" s="7" t="s">
        <v>768</v>
      </c>
      <c r="E672" s="7"/>
      <c r="F672" s="8"/>
      <c r="G672" s="7" t="s">
        <v>768</v>
      </c>
      <c r="H672" s="9">
        <v>36.841031000000001</v>
      </c>
      <c r="I672" s="9">
        <v>10.334460999999999</v>
      </c>
      <c r="J672" s="7" t="s">
        <v>118</v>
      </c>
      <c r="K672" s="7" t="s">
        <v>37</v>
      </c>
      <c r="L672" s="7"/>
      <c r="M672" s="10">
        <v>15.07</v>
      </c>
      <c r="N672" s="7" t="s">
        <v>38</v>
      </c>
      <c r="O672" s="7"/>
      <c r="P672" s="8" t="s">
        <v>39</v>
      </c>
      <c r="Q672">
        <v>6.15</v>
      </c>
      <c r="R672">
        <v>27.2</v>
      </c>
      <c r="S672" t="s">
        <v>58</v>
      </c>
      <c r="T672">
        <v>18</v>
      </c>
      <c r="U672">
        <f t="shared" si="50"/>
        <v>110.7</v>
      </c>
      <c r="V672">
        <v>0.9</v>
      </c>
      <c r="W672">
        <v>120</v>
      </c>
      <c r="X672">
        <v>0.35</v>
      </c>
      <c r="Y672">
        <f t="shared" si="51"/>
        <v>42</v>
      </c>
      <c r="Z672">
        <f t="shared" si="52"/>
        <v>99.63000000000001</v>
      </c>
      <c r="AA672">
        <f t="shared" si="53"/>
        <v>57.63000000000001</v>
      </c>
      <c r="AB672">
        <f t="shared" si="54"/>
        <v>868.48410000000013</v>
      </c>
    </row>
    <row r="673" spans="1:28" ht="25.5" x14ac:dyDescent="0.25">
      <c r="A673" s="7">
        <v>672</v>
      </c>
      <c r="B673" s="7" t="s">
        <v>15</v>
      </c>
      <c r="C673" s="7" t="s">
        <v>119</v>
      </c>
      <c r="D673" s="7" t="s">
        <v>769</v>
      </c>
      <c r="E673" s="7"/>
      <c r="F673" s="8"/>
      <c r="G673" s="7" t="s">
        <v>769</v>
      </c>
      <c r="H673" s="9">
        <v>36.377127000000002</v>
      </c>
      <c r="I673" s="9">
        <v>9.6297320000000006</v>
      </c>
      <c r="J673" s="7" t="s">
        <v>121</v>
      </c>
      <c r="K673" s="7" t="s">
        <v>37</v>
      </c>
      <c r="L673" s="7"/>
      <c r="M673" s="10">
        <v>7</v>
      </c>
      <c r="N673" s="7" t="s">
        <v>44</v>
      </c>
      <c r="O673" s="7"/>
      <c r="P673" s="8" t="s">
        <v>39</v>
      </c>
      <c r="Q673">
        <v>1.83</v>
      </c>
      <c r="R673">
        <v>35.4</v>
      </c>
      <c r="S673" t="s">
        <v>40</v>
      </c>
      <c r="T673">
        <v>18</v>
      </c>
      <c r="U673">
        <f t="shared" si="50"/>
        <v>32.94</v>
      </c>
      <c r="V673">
        <v>0.6</v>
      </c>
      <c r="W673">
        <v>0</v>
      </c>
      <c r="X673">
        <v>0</v>
      </c>
      <c r="Y673">
        <f t="shared" si="51"/>
        <v>0</v>
      </c>
      <c r="Z673">
        <f t="shared" si="52"/>
        <v>19.763999999999999</v>
      </c>
      <c r="AA673">
        <f t="shared" si="53"/>
        <v>19.763999999999999</v>
      </c>
      <c r="AB673">
        <f t="shared" si="54"/>
        <v>138.34799999999998</v>
      </c>
    </row>
    <row r="674" spans="1:28" ht="25.5" x14ac:dyDescent="0.25">
      <c r="A674" s="7">
        <v>673</v>
      </c>
      <c r="B674" s="7" t="s">
        <v>15</v>
      </c>
      <c r="C674" s="7" t="s">
        <v>34</v>
      </c>
      <c r="D674" s="7" t="s">
        <v>770</v>
      </c>
      <c r="E674" s="7"/>
      <c r="F674" s="8"/>
      <c r="G674" s="7" t="s">
        <v>770</v>
      </c>
      <c r="H674" s="9">
        <v>36.895504000000003</v>
      </c>
      <c r="I674" s="9">
        <v>10.24122</v>
      </c>
      <c r="J674" s="7" t="s">
        <v>36</v>
      </c>
      <c r="K674" s="7" t="s">
        <v>37</v>
      </c>
      <c r="L674" s="7"/>
      <c r="M674" s="10">
        <v>12.76</v>
      </c>
      <c r="N674" s="7" t="s">
        <v>48</v>
      </c>
      <c r="O674" s="7"/>
      <c r="P674" s="8" t="s">
        <v>39</v>
      </c>
      <c r="Q674">
        <v>6.86</v>
      </c>
      <c r="R674">
        <v>38.200000000000003</v>
      </c>
      <c r="S674" t="s">
        <v>40</v>
      </c>
      <c r="T674">
        <v>16</v>
      </c>
      <c r="U674">
        <f t="shared" si="50"/>
        <v>109.76</v>
      </c>
      <c r="V674">
        <v>0.54</v>
      </c>
      <c r="W674">
        <v>160</v>
      </c>
      <c r="X674">
        <v>0.35</v>
      </c>
      <c r="Y674">
        <f t="shared" si="51"/>
        <v>56</v>
      </c>
      <c r="Z674">
        <f t="shared" si="52"/>
        <v>59.270400000000009</v>
      </c>
      <c r="AA674">
        <f t="shared" si="53"/>
        <v>3.2704000000000093</v>
      </c>
      <c r="AB674">
        <f t="shared" si="54"/>
        <v>41.730304000000118</v>
      </c>
    </row>
    <row r="675" spans="1:28" ht="25.5" x14ac:dyDescent="0.25">
      <c r="A675" s="7">
        <v>674</v>
      </c>
      <c r="B675" s="7" t="s">
        <v>15</v>
      </c>
      <c r="C675" s="7" t="s">
        <v>41</v>
      </c>
      <c r="D675" s="7" t="s">
        <v>771</v>
      </c>
      <c r="E675" s="7"/>
      <c r="F675" s="8"/>
      <c r="G675" s="7" t="s">
        <v>771</v>
      </c>
      <c r="H675" s="9">
        <v>36.670957000000001</v>
      </c>
      <c r="I675" s="9">
        <v>9.6316950000000006</v>
      </c>
      <c r="J675" s="7" t="s">
        <v>43</v>
      </c>
      <c r="K675" s="7" t="s">
        <v>37</v>
      </c>
      <c r="L675" s="7"/>
      <c r="M675" s="10">
        <v>15.63</v>
      </c>
      <c r="N675" s="7" t="s">
        <v>52</v>
      </c>
      <c r="O675" s="7"/>
      <c r="P675" s="8" t="s">
        <v>39</v>
      </c>
      <c r="Q675">
        <v>6.34</v>
      </c>
      <c r="R675">
        <v>23.5</v>
      </c>
      <c r="S675" t="s">
        <v>53</v>
      </c>
      <c r="T675">
        <v>12</v>
      </c>
      <c r="U675">
        <f t="shared" si="50"/>
        <v>76.08</v>
      </c>
      <c r="V675">
        <v>1.26</v>
      </c>
      <c r="W675">
        <v>0</v>
      </c>
      <c r="X675">
        <v>0</v>
      </c>
      <c r="Y675">
        <f t="shared" si="51"/>
        <v>0</v>
      </c>
      <c r="Z675">
        <f t="shared" si="52"/>
        <v>95.860799999999998</v>
      </c>
      <c r="AA675">
        <f t="shared" si="53"/>
        <v>95.860799999999998</v>
      </c>
      <c r="AB675">
        <f t="shared" si="54"/>
        <v>1498.304304</v>
      </c>
    </row>
    <row r="676" spans="1:28" ht="25.5" x14ac:dyDescent="0.25">
      <c r="A676" s="7">
        <v>675</v>
      </c>
      <c r="B676" s="7" t="s">
        <v>15</v>
      </c>
      <c r="C676" s="7" t="s">
        <v>45</v>
      </c>
      <c r="D676" s="7" t="s">
        <v>772</v>
      </c>
      <c r="E676" s="7"/>
      <c r="F676" s="8"/>
      <c r="G676" s="7" t="s">
        <v>772</v>
      </c>
      <c r="H676" s="9">
        <v>36.620787999999997</v>
      </c>
      <c r="I676" s="9">
        <v>10.292199</v>
      </c>
      <c r="J676" s="7" t="s">
        <v>47</v>
      </c>
      <c r="K676" s="7" t="s">
        <v>37</v>
      </c>
      <c r="L676" s="7"/>
      <c r="M676" s="10">
        <v>7.7</v>
      </c>
      <c r="N676" s="7" t="s">
        <v>57</v>
      </c>
      <c r="O676" s="7"/>
      <c r="P676" s="8" t="s">
        <v>39</v>
      </c>
      <c r="Q676">
        <v>6.76</v>
      </c>
      <c r="R676">
        <v>19.3</v>
      </c>
      <c r="S676" t="s">
        <v>53</v>
      </c>
      <c r="T676">
        <v>8</v>
      </c>
      <c r="U676">
        <f t="shared" si="50"/>
        <v>54.08</v>
      </c>
      <c r="V676">
        <v>1.38</v>
      </c>
      <c r="W676">
        <v>0</v>
      </c>
      <c r="X676">
        <v>0</v>
      </c>
      <c r="Y676">
        <f t="shared" si="51"/>
        <v>0</v>
      </c>
      <c r="Z676">
        <f t="shared" si="52"/>
        <v>74.630399999999995</v>
      </c>
      <c r="AA676">
        <f t="shared" si="53"/>
        <v>74.630399999999995</v>
      </c>
      <c r="AB676">
        <f t="shared" si="54"/>
        <v>574.65408000000002</v>
      </c>
    </row>
    <row r="677" spans="1:28" ht="25.5" x14ac:dyDescent="0.25">
      <c r="A677" s="7">
        <v>676</v>
      </c>
      <c r="B677" s="7" t="s">
        <v>15</v>
      </c>
      <c r="C677" s="7" t="s">
        <v>49</v>
      </c>
      <c r="D677" s="7" t="s">
        <v>773</v>
      </c>
      <c r="E677" s="7"/>
      <c r="F677" s="8"/>
      <c r="G677" s="7" t="s">
        <v>773</v>
      </c>
      <c r="H677" s="9">
        <v>37.133535000000002</v>
      </c>
      <c r="I677" s="9">
        <v>9.7707990000000002</v>
      </c>
      <c r="J677" s="7" t="s">
        <v>51</v>
      </c>
      <c r="K677" s="7" t="s">
        <v>37</v>
      </c>
      <c r="L677" s="7"/>
      <c r="M677" s="10">
        <v>20.010000000000002</v>
      </c>
      <c r="N677" s="7" t="s">
        <v>62</v>
      </c>
      <c r="O677" s="7"/>
      <c r="P677" s="8" t="s">
        <v>39</v>
      </c>
      <c r="Q677">
        <v>3.81</v>
      </c>
      <c r="R677">
        <v>33.200000000000003</v>
      </c>
      <c r="S677" t="s">
        <v>58</v>
      </c>
      <c r="T677">
        <v>7</v>
      </c>
      <c r="U677">
        <f t="shared" si="50"/>
        <v>26.67</v>
      </c>
      <c r="V677">
        <v>0.99</v>
      </c>
      <c r="W677">
        <v>50</v>
      </c>
      <c r="X677">
        <v>0.35</v>
      </c>
      <c r="Y677">
        <f t="shared" si="51"/>
        <v>17.5</v>
      </c>
      <c r="Z677">
        <f t="shared" si="52"/>
        <v>26.403300000000002</v>
      </c>
      <c r="AA677">
        <f t="shared" si="53"/>
        <v>8.9033000000000015</v>
      </c>
      <c r="AB677">
        <f t="shared" si="54"/>
        <v>178.15503300000003</v>
      </c>
    </row>
    <row r="678" spans="1:28" ht="25.5" x14ac:dyDescent="0.25">
      <c r="A678" s="7">
        <v>677</v>
      </c>
      <c r="B678" s="7" t="s">
        <v>15</v>
      </c>
      <c r="C678" s="7" t="s">
        <v>54</v>
      </c>
      <c r="D678" s="7" t="s">
        <v>774</v>
      </c>
      <c r="E678" s="7"/>
      <c r="F678" s="8"/>
      <c r="G678" s="7" t="s">
        <v>774</v>
      </c>
      <c r="H678" s="9">
        <v>33.643917000000002</v>
      </c>
      <c r="I678" s="9">
        <v>10.289405</v>
      </c>
      <c r="J678" s="7" t="s">
        <v>56</v>
      </c>
      <c r="K678" s="7" t="s">
        <v>37</v>
      </c>
      <c r="L678" s="7"/>
      <c r="M678" s="10">
        <v>11.17</v>
      </c>
      <c r="N678" s="7" t="s">
        <v>66</v>
      </c>
      <c r="O678" s="7"/>
      <c r="P678" s="8" t="s">
        <v>39</v>
      </c>
      <c r="Q678">
        <v>5.5</v>
      </c>
      <c r="R678">
        <v>41.5</v>
      </c>
      <c r="S678" t="s">
        <v>40</v>
      </c>
      <c r="T678">
        <v>10</v>
      </c>
      <c r="U678">
        <f t="shared" si="50"/>
        <v>55</v>
      </c>
      <c r="V678">
        <v>0.48</v>
      </c>
      <c r="W678">
        <v>120</v>
      </c>
      <c r="X678">
        <v>0.35</v>
      </c>
      <c r="Y678">
        <f t="shared" si="51"/>
        <v>42</v>
      </c>
      <c r="Z678">
        <f t="shared" si="52"/>
        <v>26.4</v>
      </c>
      <c r="AA678">
        <f t="shared" si="53"/>
        <v>0</v>
      </c>
      <c r="AB678">
        <f t="shared" si="54"/>
        <v>0</v>
      </c>
    </row>
    <row r="679" spans="1:28" ht="25.5" x14ac:dyDescent="0.25">
      <c r="A679" s="7">
        <v>678</v>
      </c>
      <c r="B679" s="7" t="s">
        <v>15</v>
      </c>
      <c r="C679" s="7" t="s">
        <v>59</v>
      </c>
      <c r="D679" s="7" t="s">
        <v>775</v>
      </c>
      <c r="E679" s="7"/>
      <c r="F679" s="8"/>
      <c r="G679" s="7" t="s">
        <v>775</v>
      </c>
      <c r="H679" s="9">
        <v>34.345125000000003</v>
      </c>
      <c r="I679" s="9">
        <v>8.4043130000000001</v>
      </c>
      <c r="J679" s="7" t="s">
        <v>61</v>
      </c>
      <c r="K679" s="7" t="s">
        <v>37</v>
      </c>
      <c r="L679" s="7"/>
      <c r="M679" s="10">
        <v>21.37</v>
      </c>
      <c r="N679" s="7" t="s">
        <v>70</v>
      </c>
      <c r="O679" s="7"/>
      <c r="P679" s="8" t="s">
        <v>39</v>
      </c>
      <c r="Q679">
        <v>7.28</v>
      </c>
      <c r="R679">
        <v>20.3</v>
      </c>
      <c r="S679" t="s">
        <v>53</v>
      </c>
      <c r="T679">
        <v>9</v>
      </c>
      <c r="U679">
        <f t="shared" si="50"/>
        <v>65.52</v>
      </c>
      <c r="V679">
        <v>1.03</v>
      </c>
      <c r="W679">
        <v>160</v>
      </c>
      <c r="X679">
        <v>0.35</v>
      </c>
      <c r="Y679">
        <f t="shared" si="51"/>
        <v>56</v>
      </c>
      <c r="Z679">
        <f t="shared" si="52"/>
        <v>67.485599999999991</v>
      </c>
      <c r="AA679">
        <f t="shared" si="53"/>
        <v>11.485599999999991</v>
      </c>
      <c r="AB679">
        <f t="shared" si="54"/>
        <v>245.44727199999983</v>
      </c>
    </row>
    <row r="680" spans="1:28" ht="25.5" x14ac:dyDescent="0.25">
      <c r="A680" s="7">
        <v>679</v>
      </c>
      <c r="B680" s="7" t="s">
        <v>15</v>
      </c>
      <c r="C680" s="7" t="s">
        <v>63</v>
      </c>
      <c r="D680" s="7" t="s">
        <v>776</v>
      </c>
      <c r="E680" s="7"/>
      <c r="F680" s="8"/>
      <c r="G680" s="7" t="s">
        <v>776</v>
      </c>
      <c r="H680" s="9">
        <v>36.974223000000002</v>
      </c>
      <c r="I680" s="9">
        <v>8.7451080000000001</v>
      </c>
      <c r="J680" s="7" t="s">
        <v>65</v>
      </c>
      <c r="K680" s="7" t="s">
        <v>37</v>
      </c>
      <c r="L680" s="7"/>
      <c r="M680" s="10">
        <v>16.100000000000001</v>
      </c>
      <c r="N680" s="7" t="s">
        <v>74</v>
      </c>
      <c r="O680" s="7"/>
      <c r="P680" s="8" t="s">
        <v>39</v>
      </c>
      <c r="Q680">
        <v>7.8</v>
      </c>
      <c r="R680">
        <v>27.4</v>
      </c>
      <c r="S680" t="s">
        <v>58</v>
      </c>
      <c r="T680">
        <v>10</v>
      </c>
      <c r="U680">
        <f t="shared" si="50"/>
        <v>78</v>
      </c>
      <c r="V680">
        <v>0.81</v>
      </c>
      <c r="W680">
        <v>160</v>
      </c>
      <c r="X680">
        <v>0.35</v>
      </c>
      <c r="Y680">
        <f t="shared" si="51"/>
        <v>56</v>
      </c>
      <c r="Z680">
        <f t="shared" si="52"/>
        <v>63.180000000000007</v>
      </c>
      <c r="AA680">
        <f t="shared" si="53"/>
        <v>7.1800000000000068</v>
      </c>
      <c r="AB680">
        <f t="shared" si="54"/>
        <v>115.59800000000013</v>
      </c>
    </row>
    <row r="681" spans="1:28" ht="25.5" x14ac:dyDescent="0.25">
      <c r="A681" s="7">
        <v>680</v>
      </c>
      <c r="B681" s="7" t="s">
        <v>15</v>
      </c>
      <c r="C681" s="7" t="s">
        <v>67</v>
      </c>
      <c r="D681" s="7" t="s">
        <v>777</v>
      </c>
      <c r="E681" s="7"/>
      <c r="F681" s="8"/>
      <c r="G681" s="7" t="s">
        <v>777</v>
      </c>
      <c r="H681" s="9">
        <v>35.622717000000002</v>
      </c>
      <c r="I681" s="9">
        <v>9.9048619999999996</v>
      </c>
      <c r="J681" s="7" t="s">
        <v>69</v>
      </c>
      <c r="K681" s="7" t="s">
        <v>37</v>
      </c>
      <c r="L681" s="7"/>
      <c r="M681" s="10">
        <v>8.52</v>
      </c>
      <c r="N681" s="7" t="s">
        <v>78</v>
      </c>
      <c r="O681" s="7"/>
      <c r="P681" s="8" t="s">
        <v>39</v>
      </c>
      <c r="Q681">
        <v>4.7</v>
      </c>
      <c r="R681">
        <v>18.399999999999999</v>
      </c>
      <c r="S681" t="s">
        <v>53</v>
      </c>
      <c r="T681">
        <v>14</v>
      </c>
      <c r="U681">
        <f t="shared" si="50"/>
        <v>65.8</v>
      </c>
      <c r="V681">
        <v>1.1499999999999999</v>
      </c>
      <c r="W681">
        <v>160</v>
      </c>
      <c r="X681">
        <v>0.35</v>
      </c>
      <c r="Y681">
        <f t="shared" si="51"/>
        <v>56</v>
      </c>
      <c r="Z681">
        <f t="shared" si="52"/>
        <v>75.669999999999987</v>
      </c>
      <c r="AA681">
        <f t="shared" si="53"/>
        <v>19.669999999999987</v>
      </c>
      <c r="AB681">
        <f t="shared" si="54"/>
        <v>167.58839999999989</v>
      </c>
    </row>
    <row r="682" spans="1:28" ht="25.5" x14ac:dyDescent="0.25">
      <c r="A682" s="7">
        <v>681</v>
      </c>
      <c r="B682" s="7" t="s">
        <v>15</v>
      </c>
      <c r="C682" s="7" t="s">
        <v>71</v>
      </c>
      <c r="D682" s="7" t="s">
        <v>778</v>
      </c>
      <c r="E682" s="7"/>
      <c r="F682" s="8"/>
      <c r="G682" s="7" t="s">
        <v>778</v>
      </c>
      <c r="H682" s="9">
        <v>35.249353999999997</v>
      </c>
      <c r="I682" s="9">
        <v>9.1357060000000008</v>
      </c>
      <c r="J682" s="7" t="s">
        <v>73</v>
      </c>
      <c r="K682" s="7" t="s">
        <v>37</v>
      </c>
      <c r="L682" s="7"/>
      <c r="M682" s="10">
        <v>3.82</v>
      </c>
      <c r="N682" s="7" t="s">
        <v>38</v>
      </c>
      <c r="O682" s="7"/>
      <c r="P682" s="8" t="s">
        <v>39</v>
      </c>
      <c r="Q682">
        <v>4.8099999999999996</v>
      </c>
      <c r="R682">
        <v>39.1</v>
      </c>
      <c r="S682" t="s">
        <v>40</v>
      </c>
      <c r="T682">
        <v>18</v>
      </c>
      <c r="U682">
        <f t="shared" si="50"/>
        <v>86.58</v>
      </c>
      <c r="V682">
        <v>0.6</v>
      </c>
      <c r="W682">
        <v>80</v>
      </c>
      <c r="X682">
        <v>0.35</v>
      </c>
      <c r="Y682">
        <f t="shared" si="51"/>
        <v>28</v>
      </c>
      <c r="Z682">
        <f t="shared" si="52"/>
        <v>51.948</v>
      </c>
      <c r="AA682">
        <f t="shared" si="53"/>
        <v>23.948</v>
      </c>
      <c r="AB682">
        <f t="shared" si="54"/>
        <v>91.481359999999995</v>
      </c>
    </row>
    <row r="683" spans="1:28" ht="25.5" x14ac:dyDescent="0.25">
      <c r="A683" s="7">
        <v>682</v>
      </c>
      <c r="B683" s="7" t="s">
        <v>15</v>
      </c>
      <c r="C683" s="7" t="s">
        <v>75</v>
      </c>
      <c r="D683" s="7" t="s">
        <v>779</v>
      </c>
      <c r="E683" s="7"/>
      <c r="F683" s="8"/>
      <c r="G683" s="7" t="s">
        <v>779</v>
      </c>
      <c r="H683" s="9">
        <v>33.477212000000002</v>
      </c>
      <c r="I683" s="9">
        <v>9.0165469999999992</v>
      </c>
      <c r="J683" s="7" t="s">
        <v>77</v>
      </c>
      <c r="K683" s="7" t="s">
        <v>37</v>
      </c>
      <c r="L683" s="7"/>
      <c r="M683" s="10">
        <v>17.239999999999998</v>
      </c>
      <c r="N683" s="7" t="s">
        <v>44</v>
      </c>
      <c r="O683" s="7"/>
      <c r="P683" s="8" t="s">
        <v>39</v>
      </c>
      <c r="Q683">
        <v>5.63</v>
      </c>
      <c r="R683">
        <v>32.4</v>
      </c>
      <c r="S683" t="s">
        <v>58</v>
      </c>
      <c r="T683">
        <v>18</v>
      </c>
      <c r="U683">
        <f t="shared" si="50"/>
        <v>101.34</v>
      </c>
      <c r="V683">
        <v>0.9</v>
      </c>
      <c r="W683">
        <v>0</v>
      </c>
      <c r="X683">
        <v>0</v>
      </c>
      <c r="Y683">
        <f t="shared" si="51"/>
        <v>0</v>
      </c>
      <c r="Z683">
        <f t="shared" si="52"/>
        <v>91.206000000000003</v>
      </c>
      <c r="AA683">
        <f t="shared" si="53"/>
        <v>91.206000000000003</v>
      </c>
      <c r="AB683">
        <f t="shared" si="54"/>
        <v>1572.3914399999999</v>
      </c>
    </row>
    <row r="684" spans="1:28" ht="25.5" x14ac:dyDescent="0.25">
      <c r="A684" s="7">
        <v>683</v>
      </c>
      <c r="B684" s="7" t="s">
        <v>15</v>
      </c>
      <c r="C684" s="7" t="s">
        <v>79</v>
      </c>
      <c r="D684" s="7" t="s">
        <v>780</v>
      </c>
      <c r="E684" s="7"/>
      <c r="F684" s="8"/>
      <c r="G684" s="7" t="s">
        <v>780</v>
      </c>
      <c r="H684" s="9">
        <v>35.917737000000002</v>
      </c>
      <c r="I684" s="9">
        <v>8.8416490000000003</v>
      </c>
      <c r="J684" s="7" t="s">
        <v>81</v>
      </c>
      <c r="K684" s="7" t="s">
        <v>37</v>
      </c>
      <c r="L684" s="7"/>
      <c r="M684" s="10">
        <v>2.42</v>
      </c>
      <c r="N684" s="7" t="s">
        <v>48</v>
      </c>
      <c r="O684" s="7"/>
      <c r="P684" s="8" t="s">
        <v>39</v>
      </c>
      <c r="Q684">
        <v>1.96</v>
      </c>
      <c r="R684">
        <v>19.399999999999999</v>
      </c>
      <c r="S684" t="s">
        <v>53</v>
      </c>
      <c r="T684">
        <v>16</v>
      </c>
      <c r="U684">
        <f t="shared" si="50"/>
        <v>31.36</v>
      </c>
      <c r="V684">
        <v>1.03</v>
      </c>
      <c r="W684">
        <v>50</v>
      </c>
      <c r="X684">
        <v>0.35</v>
      </c>
      <c r="Y684">
        <f t="shared" si="51"/>
        <v>17.5</v>
      </c>
      <c r="Z684">
        <f t="shared" si="52"/>
        <v>32.300800000000002</v>
      </c>
      <c r="AA684">
        <f t="shared" si="53"/>
        <v>14.800800000000002</v>
      </c>
      <c r="AB684">
        <f t="shared" si="54"/>
        <v>35.817936000000003</v>
      </c>
    </row>
    <row r="685" spans="1:28" ht="25.5" x14ac:dyDescent="0.25">
      <c r="A685" s="7">
        <v>684</v>
      </c>
      <c r="B685" s="7" t="s">
        <v>15</v>
      </c>
      <c r="C685" s="7" t="s">
        <v>82</v>
      </c>
      <c r="D685" s="7" t="s">
        <v>781</v>
      </c>
      <c r="E685" s="7"/>
      <c r="F685" s="8"/>
      <c r="G685" s="7" t="s">
        <v>781</v>
      </c>
      <c r="H685" s="9">
        <v>35.226650999999997</v>
      </c>
      <c r="I685" s="9">
        <v>11.117623999999999</v>
      </c>
      <c r="J685" s="7" t="s">
        <v>84</v>
      </c>
      <c r="K685" s="7" t="s">
        <v>37</v>
      </c>
      <c r="L685" s="7"/>
      <c r="M685" s="10">
        <v>24.29</v>
      </c>
      <c r="N685" s="7" t="s">
        <v>52</v>
      </c>
      <c r="O685" s="7"/>
      <c r="P685" s="8" t="s">
        <v>39</v>
      </c>
      <c r="Q685">
        <v>4.1399999999999997</v>
      </c>
      <c r="R685">
        <v>32.1</v>
      </c>
      <c r="S685" t="s">
        <v>58</v>
      </c>
      <c r="T685">
        <v>12</v>
      </c>
      <c r="U685">
        <f t="shared" si="50"/>
        <v>49.679999999999993</v>
      </c>
      <c r="V685">
        <v>0.99</v>
      </c>
      <c r="W685">
        <v>160</v>
      </c>
      <c r="X685">
        <v>0.35</v>
      </c>
      <c r="Y685">
        <f t="shared" si="51"/>
        <v>56</v>
      </c>
      <c r="Z685">
        <f t="shared" si="52"/>
        <v>49.183199999999992</v>
      </c>
      <c r="AA685">
        <f t="shared" si="53"/>
        <v>0</v>
      </c>
      <c r="AB685">
        <f t="shared" si="54"/>
        <v>0</v>
      </c>
    </row>
    <row r="686" spans="1:28" ht="25.5" x14ac:dyDescent="0.25">
      <c r="A686" s="7">
        <v>685</v>
      </c>
      <c r="B686" s="7" t="s">
        <v>15</v>
      </c>
      <c r="C686" s="7" t="s">
        <v>85</v>
      </c>
      <c r="D686" s="7" t="s">
        <v>782</v>
      </c>
      <c r="E686" s="7"/>
      <c r="F686" s="8"/>
      <c r="G686" s="7" t="s">
        <v>782</v>
      </c>
      <c r="H686" s="9">
        <v>36.830925999999998</v>
      </c>
      <c r="I686" s="9">
        <v>9.8747729999999994</v>
      </c>
      <c r="J686" s="7" t="s">
        <v>87</v>
      </c>
      <c r="K686" s="7" t="s">
        <v>37</v>
      </c>
      <c r="L686" s="7"/>
      <c r="M686" s="10">
        <v>2.08</v>
      </c>
      <c r="N686" s="7" t="s">
        <v>57</v>
      </c>
      <c r="O686" s="7"/>
      <c r="P686" s="8" t="s">
        <v>39</v>
      </c>
      <c r="Q686">
        <v>5.79</v>
      </c>
      <c r="R686">
        <v>33.299999999999997</v>
      </c>
      <c r="S686" t="s">
        <v>58</v>
      </c>
      <c r="T686">
        <v>8</v>
      </c>
      <c r="U686">
        <f t="shared" si="50"/>
        <v>46.32</v>
      </c>
      <c r="V686">
        <v>1.08</v>
      </c>
      <c r="W686">
        <v>0</v>
      </c>
      <c r="X686">
        <v>0</v>
      </c>
      <c r="Y686">
        <f t="shared" si="51"/>
        <v>0</v>
      </c>
      <c r="Z686">
        <f t="shared" si="52"/>
        <v>50.025600000000004</v>
      </c>
      <c r="AA686">
        <f t="shared" si="53"/>
        <v>50.025600000000004</v>
      </c>
      <c r="AB686">
        <f t="shared" si="54"/>
        <v>104.05324800000001</v>
      </c>
    </row>
    <row r="687" spans="1:28" ht="25.5" x14ac:dyDescent="0.25">
      <c r="A687" s="7">
        <v>686</v>
      </c>
      <c r="B687" s="7" t="s">
        <v>15</v>
      </c>
      <c r="C687" s="7" t="s">
        <v>88</v>
      </c>
      <c r="D687" s="7" t="s">
        <v>783</v>
      </c>
      <c r="E687" s="7"/>
      <c r="F687" s="8"/>
      <c r="G687" s="7" t="s">
        <v>783</v>
      </c>
      <c r="H687" s="9">
        <v>33.801864000000002</v>
      </c>
      <c r="I687" s="9">
        <v>10.974852</v>
      </c>
      <c r="J687" s="7" t="s">
        <v>90</v>
      </c>
      <c r="K687" s="7" t="s">
        <v>37</v>
      </c>
      <c r="L687" s="7"/>
      <c r="M687" s="10">
        <v>20.41</v>
      </c>
      <c r="N687" s="7" t="s">
        <v>62</v>
      </c>
      <c r="O687" s="7"/>
      <c r="P687" s="8" t="s">
        <v>39</v>
      </c>
      <c r="Q687">
        <v>2.89</v>
      </c>
      <c r="R687">
        <v>34.6</v>
      </c>
      <c r="S687" t="s">
        <v>58</v>
      </c>
      <c r="T687">
        <v>7</v>
      </c>
      <c r="U687">
        <f t="shared" si="50"/>
        <v>20.23</v>
      </c>
      <c r="V687">
        <v>0.99</v>
      </c>
      <c r="W687">
        <v>0</v>
      </c>
      <c r="X687">
        <v>0</v>
      </c>
      <c r="Y687">
        <f t="shared" si="51"/>
        <v>0</v>
      </c>
      <c r="Z687">
        <f t="shared" si="52"/>
        <v>20.027699999999999</v>
      </c>
      <c r="AA687">
        <f t="shared" si="53"/>
        <v>20.027699999999999</v>
      </c>
      <c r="AB687">
        <f t="shared" si="54"/>
        <v>408.76535699999999</v>
      </c>
    </row>
    <row r="688" spans="1:28" ht="25.5" x14ac:dyDescent="0.25">
      <c r="A688" s="7">
        <v>687</v>
      </c>
      <c r="B688" s="7" t="s">
        <v>15</v>
      </c>
      <c r="C688" s="7" t="s">
        <v>92</v>
      </c>
      <c r="D688" s="7" t="s">
        <v>784</v>
      </c>
      <c r="E688" s="7"/>
      <c r="F688" s="8"/>
      <c r="G688" s="7" t="s">
        <v>784</v>
      </c>
      <c r="H688" s="9">
        <v>35.612667000000002</v>
      </c>
      <c r="I688" s="9">
        <v>10.749243999999999</v>
      </c>
      <c r="J688" s="7" t="s">
        <v>94</v>
      </c>
      <c r="K688" s="7" t="s">
        <v>37</v>
      </c>
      <c r="L688" s="7"/>
      <c r="M688" s="10">
        <v>14.89</v>
      </c>
      <c r="N688" s="7" t="s">
        <v>66</v>
      </c>
      <c r="O688" s="7"/>
      <c r="P688" s="8" t="s">
        <v>39</v>
      </c>
      <c r="Q688">
        <v>7.1</v>
      </c>
      <c r="R688">
        <v>36.4</v>
      </c>
      <c r="S688" t="s">
        <v>40</v>
      </c>
      <c r="T688">
        <v>10</v>
      </c>
      <c r="U688">
        <f t="shared" si="50"/>
        <v>71</v>
      </c>
      <c r="V688">
        <v>0.48</v>
      </c>
      <c r="W688">
        <v>0</v>
      </c>
      <c r="X688">
        <v>0</v>
      </c>
      <c r="Y688">
        <f t="shared" si="51"/>
        <v>0</v>
      </c>
      <c r="Z688">
        <f t="shared" si="52"/>
        <v>34.08</v>
      </c>
      <c r="AA688">
        <f t="shared" si="53"/>
        <v>34.08</v>
      </c>
      <c r="AB688">
        <f t="shared" si="54"/>
        <v>507.45119999999997</v>
      </c>
    </row>
    <row r="689" spans="1:28" ht="25.5" x14ac:dyDescent="0.25">
      <c r="A689" s="7">
        <v>688</v>
      </c>
      <c r="B689" s="7" t="s">
        <v>15</v>
      </c>
      <c r="C689" s="7" t="s">
        <v>95</v>
      </c>
      <c r="D689" s="7" t="s">
        <v>785</v>
      </c>
      <c r="E689" s="7"/>
      <c r="F689" s="8"/>
      <c r="G689" s="7" t="s">
        <v>785</v>
      </c>
      <c r="H689" s="9">
        <v>36.585377999999999</v>
      </c>
      <c r="I689" s="9">
        <v>10.878636</v>
      </c>
      <c r="J689" s="7" t="s">
        <v>97</v>
      </c>
      <c r="K689" s="7" t="s">
        <v>37</v>
      </c>
      <c r="L689" s="7"/>
      <c r="M689" s="10">
        <v>23.58</v>
      </c>
      <c r="N689" s="7" t="s">
        <v>70</v>
      </c>
      <c r="O689" s="7"/>
      <c r="P689" s="8" t="s">
        <v>39</v>
      </c>
      <c r="Q689">
        <v>4.71</v>
      </c>
      <c r="R689">
        <v>14.8</v>
      </c>
      <c r="S689" t="s">
        <v>91</v>
      </c>
      <c r="T689">
        <v>9</v>
      </c>
      <c r="U689">
        <f t="shared" si="50"/>
        <v>42.39</v>
      </c>
      <c r="V689">
        <v>1.22</v>
      </c>
      <c r="W689">
        <v>120</v>
      </c>
      <c r="X689">
        <v>0.35</v>
      </c>
      <c r="Y689">
        <f t="shared" si="51"/>
        <v>42</v>
      </c>
      <c r="Z689">
        <f t="shared" si="52"/>
        <v>51.715800000000002</v>
      </c>
      <c r="AA689">
        <f t="shared" si="53"/>
        <v>9.7158000000000015</v>
      </c>
      <c r="AB689">
        <f t="shared" si="54"/>
        <v>229.09856400000001</v>
      </c>
    </row>
    <row r="690" spans="1:28" ht="25.5" x14ac:dyDescent="0.25">
      <c r="A690" s="7">
        <v>689</v>
      </c>
      <c r="B690" s="7" t="s">
        <v>15</v>
      </c>
      <c r="C690" s="7" t="s">
        <v>98</v>
      </c>
      <c r="D690" s="7" t="s">
        <v>786</v>
      </c>
      <c r="E690" s="7"/>
      <c r="F690" s="8"/>
      <c r="G690" s="7" t="s">
        <v>786</v>
      </c>
      <c r="H690" s="9">
        <v>34.746133</v>
      </c>
      <c r="I690" s="9">
        <v>10.482969000000001</v>
      </c>
      <c r="J690" s="7" t="s">
        <v>100</v>
      </c>
      <c r="K690" s="7" t="s">
        <v>37</v>
      </c>
      <c r="L690" s="7"/>
      <c r="M690" s="10">
        <v>22.63</v>
      </c>
      <c r="N690" s="7" t="s">
        <v>74</v>
      </c>
      <c r="O690" s="7"/>
      <c r="P690" s="8" t="s">
        <v>39</v>
      </c>
      <c r="Q690">
        <v>4.57</v>
      </c>
      <c r="R690">
        <v>14.8</v>
      </c>
      <c r="S690" t="s">
        <v>91</v>
      </c>
      <c r="T690">
        <v>10</v>
      </c>
      <c r="U690">
        <f t="shared" si="50"/>
        <v>45.7</v>
      </c>
      <c r="V690">
        <v>1.22</v>
      </c>
      <c r="W690">
        <v>0</v>
      </c>
      <c r="X690">
        <v>0</v>
      </c>
      <c r="Y690">
        <f t="shared" si="51"/>
        <v>0</v>
      </c>
      <c r="Z690">
        <f t="shared" si="52"/>
        <v>55.754000000000005</v>
      </c>
      <c r="AA690">
        <f t="shared" si="53"/>
        <v>55.754000000000005</v>
      </c>
      <c r="AB690">
        <f t="shared" si="54"/>
        <v>1261.7130200000001</v>
      </c>
    </row>
    <row r="691" spans="1:28" ht="25.5" x14ac:dyDescent="0.25">
      <c r="A691" s="7">
        <v>690</v>
      </c>
      <c r="B691" s="7" t="s">
        <v>15</v>
      </c>
      <c r="C691" s="7" t="s">
        <v>101</v>
      </c>
      <c r="D691" s="7" t="s">
        <v>787</v>
      </c>
      <c r="E691" s="7"/>
      <c r="F691" s="8"/>
      <c r="G691" s="7" t="s">
        <v>787</v>
      </c>
      <c r="H691" s="9">
        <v>34.894134000000001</v>
      </c>
      <c r="I691" s="9">
        <v>9.7896409999999996</v>
      </c>
      <c r="J691" s="7" t="s">
        <v>103</v>
      </c>
      <c r="K691" s="7" t="s">
        <v>37</v>
      </c>
      <c r="L691" s="7"/>
      <c r="M691" s="10">
        <v>10.15</v>
      </c>
      <c r="N691" s="7" t="s">
        <v>78</v>
      </c>
      <c r="O691" s="7"/>
      <c r="P691" s="8" t="s">
        <v>39</v>
      </c>
      <c r="Q691">
        <v>4.18</v>
      </c>
      <c r="R691">
        <v>43.1</v>
      </c>
      <c r="S691" t="s">
        <v>40</v>
      </c>
      <c r="T691">
        <v>14</v>
      </c>
      <c r="U691">
        <f t="shared" si="50"/>
        <v>58.519999999999996</v>
      </c>
      <c r="V691">
        <v>0.6</v>
      </c>
      <c r="W691">
        <v>0</v>
      </c>
      <c r="X691">
        <v>0</v>
      </c>
      <c r="Y691">
        <f t="shared" si="51"/>
        <v>0</v>
      </c>
      <c r="Z691">
        <f t="shared" si="52"/>
        <v>35.111999999999995</v>
      </c>
      <c r="AA691">
        <f t="shared" si="53"/>
        <v>35.111999999999995</v>
      </c>
      <c r="AB691">
        <f t="shared" si="54"/>
        <v>356.38679999999994</v>
      </c>
    </row>
    <row r="692" spans="1:28" ht="25.5" x14ac:dyDescent="0.25">
      <c r="A692" s="7">
        <v>691</v>
      </c>
      <c r="B692" s="7" t="s">
        <v>15</v>
      </c>
      <c r="C692" s="7" t="s">
        <v>104</v>
      </c>
      <c r="D692" s="7" t="s">
        <v>788</v>
      </c>
      <c r="E692" s="7"/>
      <c r="F692" s="8"/>
      <c r="G692" s="7" t="s">
        <v>788</v>
      </c>
      <c r="H692" s="9">
        <v>35.835265</v>
      </c>
      <c r="I692" s="9">
        <v>9.1936140000000002</v>
      </c>
      <c r="J692" s="7" t="s">
        <v>106</v>
      </c>
      <c r="K692" s="7" t="s">
        <v>37</v>
      </c>
      <c r="L692" s="7"/>
      <c r="M692" s="10">
        <v>6.14</v>
      </c>
      <c r="N692" s="7" t="s">
        <v>38</v>
      </c>
      <c r="O692" s="7"/>
      <c r="P692" s="8" t="s">
        <v>39</v>
      </c>
      <c r="Q692">
        <v>2.4</v>
      </c>
      <c r="R692">
        <v>42.2</v>
      </c>
      <c r="S692" t="s">
        <v>40</v>
      </c>
      <c r="T692">
        <v>18</v>
      </c>
      <c r="U692">
        <f t="shared" si="50"/>
        <v>43.199999999999996</v>
      </c>
      <c r="V692">
        <v>0.6</v>
      </c>
      <c r="W692">
        <v>80</v>
      </c>
      <c r="X692">
        <v>0.35</v>
      </c>
      <c r="Y692">
        <f t="shared" si="51"/>
        <v>28</v>
      </c>
      <c r="Z692">
        <f t="shared" si="52"/>
        <v>25.919999999999998</v>
      </c>
      <c r="AA692">
        <f t="shared" si="53"/>
        <v>0</v>
      </c>
      <c r="AB692">
        <f t="shared" si="54"/>
        <v>0</v>
      </c>
    </row>
    <row r="693" spans="1:28" ht="25.5" x14ac:dyDescent="0.25">
      <c r="A693" s="7">
        <v>692</v>
      </c>
      <c r="B693" s="7" t="s">
        <v>15</v>
      </c>
      <c r="C693" s="7" t="s">
        <v>107</v>
      </c>
      <c r="D693" s="7" t="s">
        <v>789</v>
      </c>
      <c r="E693" s="7"/>
      <c r="F693" s="8"/>
      <c r="G693" s="7" t="s">
        <v>789</v>
      </c>
      <c r="H693" s="9">
        <v>36.135626999999999</v>
      </c>
      <c r="I693" s="9">
        <v>10.376987</v>
      </c>
      <c r="J693" s="7" t="s">
        <v>109</v>
      </c>
      <c r="K693" s="7" t="s">
        <v>37</v>
      </c>
      <c r="L693" s="7"/>
      <c r="M693" s="10">
        <v>2.6</v>
      </c>
      <c r="N693" s="7" t="s">
        <v>44</v>
      </c>
      <c r="O693" s="7"/>
      <c r="P693" s="8" t="s">
        <v>39</v>
      </c>
      <c r="Q693">
        <v>3.35</v>
      </c>
      <c r="R693">
        <v>25.4</v>
      </c>
      <c r="S693" t="s">
        <v>58</v>
      </c>
      <c r="T693">
        <v>18</v>
      </c>
      <c r="U693">
        <f t="shared" si="50"/>
        <v>60.300000000000004</v>
      </c>
      <c r="V693">
        <v>0.9</v>
      </c>
      <c r="W693">
        <v>160</v>
      </c>
      <c r="X693">
        <v>0.35</v>
      </c>
      <c r="Y693">
        <f t="shared" si="51"/>
        <v>56</v>
      </c>
      <c r="Z693">
        <f t="shared" si="52"/>
        <v>54.27</v>
      </c>
      <c r="AA693">
        <f t="shared" si="53"/>
        <v>0</v>
      </c>
      <c r="AB693">
        <f t="shared" si="54"/>
        <v>0</v>
      </c>
    </row>
    <row r="694" spans="1:28" ht="25.5" x14ac:dyDescent="0.25">
      <c r="A694" s="7">
        <v>693</v>
      </c>
      <c r="B694" s="7" t="s">
        <v>15</v>
      </c>
      <c r="C694" s="7" t="s">
        <v>110</v>
      </c>
      <c r="D694" s="7" t="s">
        <v>790</v>
      </c>
      <c r="E694" s="7"/>
      <c r="F694" s="8"/>
      <c r="G694" s="7" t="s">
        <v>790</v>
      </c>
      <c r="H694" s="9">
        <v>33.173848999999997</v>
      </c>
      <c r="I694" s="9">
        <v>10.250693999999999</v>
      </c>
      <c r="J694" s="7" t="s">
        <v>112</v>
      </c>
      <c r="K694" s="7" t="s">
        <v>37</v>
      </c>
      <c r="L694" s="7"/>
      <c r="M694" s="10">
        <v>1.57</v>
      </c>
      <c r="N694" s="7" t="s">
        <v>48</v>
      </c>
      <c r="O694" s="7"/>
      <c r="P694" s="8" t="s">
        <v>39</v>
      </c>
      <c r="Q694">
        <v>5.87</v>
      </c>
      <c r="R694">
        <v>19.3</v>
      </c>
      <c r="S694" t="s">
        <v>53</v>
      </c>
      <c r="T694">
        <v>16</v>
      </c>
      <c r="U694">
        <f t="shared" si="50"/>
        <v>93.92</v>
      </c>
      <c r="V694">
        <v>1.03</v>
      </c>
      <c r="W694">
        <v>0</v>
      </c>
      <c r="X694">
        <v>0</v>
      </c>
      <c r="Y694">
        <f t="shared" si="51"/>
        <v>0</v>
      </c>
      <c r="Z694">
        <f t="shared" si="52"/>
        <v>96.7376</v>
      </c>
      <c r="AA694">
        <f t="shared" si="53"/>
        <v>96.7376</v>
      </c>
      <c r="AB694">
        <f t="shared" si="54"/>
        <v>151.87803200000002</v>
      </c>
    </row>
    <row r="695" spans="1:28" ht="25.5" x14ac:dyDescent="0.25">
      <c r="A695" s="7">
        <v>694</v>
      </c>
      <c r="B695" s="7" t="s">
        <v>15</v>
      </c>
      <c r="C695" s="7" t="s">
        <v>113</v>
      </c>
      <c r="D695" s="7" t="s">
        <v>791</v>
      </c>
      <c r="E695" s="7"/>
      <c r="F695" s="8"/>
      <c r="G695" s="7" t="s">
        <v>791</v>
      </c>
      <c r="H695" s="9">
        <v>33.867772000000002</v>
      </c>
      <c r="I695" s="9">
        <v>7.8928289999999999</v>
      </c>
      <c r="J695" s="7" t="s">
        <v>115</v>
      </c>
      <c r="K695" s="7" t="s">
        <v>37</v>
      </c>
      <c r="L695" s="7"/>
      <c r="M695" s="10">
        <v>4.74</v>
      </c>
      <c r="N695" s="7" t="s">
        <v>52</v>
      </c>
      <c r="O695" s="7"/>
      <c r="P695" s="8" t="s">
        <v>39</v>
      </c>
      <c r="Q695">
        <v>6.45</v>
      </c>
      <c r="R695">
        <v>18.5</v>
      </c>
      <c r="S695" t="s">
        <v>53</v>
      </c>
      <c r="T695">
        <v>12</v>
      </c>
      <c r="U695">
        <f t="shared" si="50"/>
        <v>77.400000000000006</v>
      </c>
      <c r="V695">
        <v>1.26</v>
      </c>
      <c r="W695">
        <v>50</v>
      </c>
      <c r="X695">
        <v>0.35</v>
      </c>
      <c r="Y695">
        <f t="shared" si="51"/>
        <v>17.5</v>
      </c>
      <c r="Z695">
        <f t="shared" si="52"/>
        <v>97.524000000000001</v>
      </c>
      <c r="AA695">
        <f t="shared" si="53"/>
        <v>80.024000000000001</v>
      </c>
      <c r="AB695">
        <f t="shared" si="54"/>
        <v>379.31376</v>
      </c>
    </row>
    <row r="696" spans="1:28" ht="25.5" x14ac:dyDescent="0.25">
      <c r="A696" s="7">
        <v>695</v>
      </c>
      <c r="B696" s="7" t="s">
        <v>15</v>
      </c>
      <c r="C696" s="7" t="s">
        <v>116</v>
      </c>
      <c r="D696" s="7" t="s">
        <v>792</v>
      </c>
      <c r="E696" s="7"/>
      <c r="F696" s="8"/>
      <c r="G696" s="7" t="s">
        <v>792</v>
      </c>
      <c r="H696" s="9">
        <v>36.856796000000003</v>
      </c>
      <c r="I696" s="9">
        <v>10.346240999999999</v>
      </c>
      <c r="J696" s="7" t="s">
        <v>118</v>
      </c>
      <c r="K696" s="7" t="s">
        <v>37</v>
      </c>
      <c r="L696" s="7"/>
      <c r="M696" s="10">
        <v>5.23</v>
      </c>
      <c r="N696" s="7" t="s">
        <v>57</v>
      </c>
      <c r="O696" s="7"/>
      <c r="P696" s="8" t="s">
        <v>39</v>
      </c>
      <c r="Q696">
        <v>1.9</v>
      </c>
      <c r="R696">
        <v>12.1</v>
      </c>
      <c r="S696" t="s">
        <v>91</v>
      </c>
      <c r="T696">
        <v>8</v>
      </c>
      <c r="U696">
        <f t="shared" si="50"/>
        <v>15.2</v>
      </c>
      <c r="V696">
        <v>1.6</v>
      </c>
      <c r="W696">
        <v>0</v>
      </c>
      <c r="X696">
        <v>0</v>
      </c>
      <c r="Y696">
        <f t="shared" si="51"/>
        <v>0</v>
      </c>
      <c r="Z696">
        <f t="shared" si="52"/>
        <v>24.32</v>
      </c>
      <c r="AA696">
        <f t="shared" si="53"/>
        <v>24.32</v>
      </c>
      <c r="AB696">
        <f t="shared" si="54"/>
        <v>127.19360000000002</v>
      </c>
    </row>
    <row r="697" spans="1:28" ht="25.5" x14ac:dyDescent="0.25">
      <c r="A697" s="7">
        <v>696</v>
      </c>
      <c r="B697" s="7" t="s">
        <v>15</v>
      </c>
      <c r="C697" s="7" t="s">
        <v>119</v>
      </c>
      <c r="D697" s="7" t="s">
        <v>793</v>
      </c>
      <c r="E697" s="7"/>
      <c r="F697" s="8"/>
      <c r="G697" s="7" t="s">
        <v>793</v>
      </c>
      <c r="H697" s="9">
        <v>36.374065000000002</v>
      </c>
      <c r="I697" s="9">
        <v>9.6416409999999999</v>
      </c>
      <c r="J697" s="7" t="s">
        <v>121</v>
      </c>
      <c r="K697" s="7" t="s">
        <v>37</v>
      </c>
      <c r="L697" s="7"/>
      <c r="M697" s="10">
        <v>12.21</v>
      </c>
      <c r="N697" s="7" t="s">
        <v>62</v>
      </c>
      <c r="O697" s="7"/>
      <c r="P697" s="8" t="s">
        <v>39</v>
      </c>
      <c r="Q697">
        <v>2.31</v>
      </c>
      <c r="R697">
        <v>24.6</v>
      </c>
      <c r="S697" t="s">
        <v>53</v>
      </c>
      <c r="T697">
        <v>7</v>
      </c>
      <c r="U697">
        <f t="shared" si="50"/>
        <v>16.170000000000002</v>
      </c>
      <c r="V697">
        <v>1.26</v>
      </c>
      <c r="W697">
        <v>80</v>
      </c>
      <c r="X697">
        <v>0.35</v>
      </c>
      <c r="Y697">
        <f t="shared" si="51"/>
        <v>28</v>
      </c>
      <c r="Z697">
        <f t="shared" si="52"/>
        <v>20.374200000000002</v>
      </c>
      <c r="AA697">
        <f t="shared" si="53"/>
        <v>0</v>
      </c>
      <c r="AB697">
        <f t="shared" si="54"/>
        <v>0</v>
      </c>
    </row>
    <row r="698" spans="1:28" ht="25.5" x14ac:dyDescent="0.25">
      <c r="A698" s="7">
        <v>697</v>
      </c>
      <c r="B698" s="7" t="s">
        <v>15</v>
      </c>
      <c r="C698" s="7" t="s">
        <v>34</v>
      </c>
      <c r="D698" s="7" t="s">
        <v>794</v>
      </c>
      <c r="E698" s="7"/>
      <c r="F698" s="8"/>
      <c r="G698" s="7" t="s">
        <v>794</v>
      </c>
      <c r="H698" s="9">
        <v>36.915643000000003</v>
      </c>
      <c r="I698" s="9">
        <v>10.219623</v>
      </c>
      <c r="J698" s="7" t="s">
        <v>36</v>
      </c>
      <c r="K698" s="7" t="s">
        <v>37</v>
      </c>
      <c r="L698" s="7"/>
      <c r="M698" s="10">
        <v>13.46</v>
      </c>
      <c r="N698" s="7" t="s">
        <v>66</v>
      </c>
      <c r="O698" s="7"/>
      <c r="P698" s="8" t="s">
        <v>39</v>
      </c>
      <c r="Q698">
        <v>3.36</v>
      </c>
      <c r="R698">
        <v>44.7</v>
      </c>
      <c r="S698" t="s">
        <v>40</v>
      </c>
      <c r="T698">
        <v>10</v>
      </c>
      <c r="U698">
        <f t="shared" si="50"/>
        <v>33.6</v>
      </c>
      <c r="V698">
        <v>0.48</v>
      </c>
      <c r="W698">
        <v>80</v>
      </c>
      <c r="X698">
        <v>0.35</v>
      </c>
      <c r="Y698">
        <f t="shared" si="51"/>
        <v>28</v>
      </c>
      <c r="Z698">
        <f t="shared" si="52"/>
        <v>16.128</v>
      </c>
      <c r="AA698">
        <f t="shared" si="53"/>
        <v>0</v>
      </c>
      <c r="AB698">
        <f t="shared" si="54"/>
        <v>0</v>
      </c>
    </row>
    <row r="699" spans="1:28" ht="25.5" x14ac:dyDescent="0.25">
      <c r="A699" s="7">
        <v>698</v>
      </c>
      <c r="B699" s="7" t="s">
        <v>15</v>
      </c>
      <c r="C699" s="7" t="s">
        <v>41</v>
      </c>
      <c r="D699" s="7" t="s">
        <v>795</v>
      </c>
      <c r="E699" s="7"/>
      <c r="F699" s="8"/>
      <c r="G699" s="7" t="s">
        <v>795</v>
      </c>
      <c r="H699" s="9">
        <v>36.636206999999999</v>
      </c>
      <c r="I699" s="9">
        <v>9.5984890000000007</v>
      </c>
      <c r="J699" s="7" t="s">
        <v>43</v>
      </c>
      <c r="K699" s="7" t="s">
        <v>37</v>
      </c>
      <c r="L699" s="7"/>
      <c r="M699" s="10">
        <v>5.8</v>
      </c>
      <c r="N699" s="7" t="s">
        <v>70</v>
      </c>
      <c r="O699" s="7"/>
      <c r="P699" s="8" t="s">
        <v>39</v>
      </c>
      <c r="Q699">
        <v>3.5</v>
      </c>
      <c r="R699">
        <v>29.4</v>
      </c>
      <c r="S699" t="s">
        <v>58</v>
      </c>
      <c r="T699">
        <v>9</v>
      </c>
      <c r="U699">
        <f t="shared" si="50"/>
        <v>31.5</v>
      </c>
      <c r="V699">
        <v>0.81</v>
      </c>
      <c r="W699">
        <v>0</v>
      </c>
      <c r="X699">
        <v>0</v>
      </c>
      <c r="Y699">
        <f t="shared" si="51"/>
        <v>0</v>
      </c>
      <c r="Z699">
        <f t="shared" si="52"/>
        <v>25.515000000000001</v>
      </c>
      <c r="AA699">
        <f t="shared" si="53"/>
        <v>25.515000000000001</v>
      </c>
      <c r="AB699">
        <f t="shared" si="54"/>
        <v>147.98699999999999</v>
      </c>
    </row>
    <row r="700" spans="1:28" ht="25.5" x14ac:dyDescent="0.25">
      <c r="A700" s="7">
        <v>699</v>
      </c>
      <c r="B700" s="7" t="s">
        <v>15</v>
      </c>
      <c r="C700" s="7" t="s">
        <v>45</v>
      </c>
      <c r="D700" s="7" t="s">
        <v>796</v>
      </c>
      <c r="E700" s="7"/>
      <c r="F700" s="8"/>
      <c r="G700" s="7" t="s">
        <v>796</v>
      </c>
      <c r="H700" s="9">
        <v>36.605601</v>
      </c>
      <c r="I700" s="9">
        <v>10.330105</v>
      </c>
      <c r="J700" s="7" t="s">
        <v>47</v>
      </c>
      <c r="K700" s="7" t="s">
        <v>37</v>
      </c>
      <c r="L700" s="7"/>
      <c r="M700" s="10">
        <v>3.47</v>
      </c>
      <c r="N700" s="7" t="s">
        <v>74</v>
      </c>
      <c r="O700" s="7"/>
      <c r="P700" s="8" t="s">
        <v>39</v>
      </c>
      <c r="Q700">
        <v>2.93</v>
      </c>
      <c r="R700">
        <v>11.7</v>
      </c>
      <c r="S700" t="s">
        <v>91</v>
      </c>
      <c r="T700">
        <v>10</v>
      </c>
      <c r="U700">
        <f t="shared" si="50"/>
        <v>29.3</v>
      </c>
      <c r="V700">
        <v>1.22</v>
      </c>
      <c r="W700">
        <v>160</v>
      </c>
      <c r="X700">
        <v>0.35</v>
      </c>
      <c r="Y700">
        <f t="shared" si="51"/>
        <v>56</v>
      </c>
      <c r="Z700">
        <f t="shared" si="52"/>
        <v>35.746000000000002</v>
      </c>
      <c r="AA700">
        <f t="shared" si="53"/>
        <v>0</v>
      </c>
      <c r="AB700">
        <f t="shared" si="54"/>
        <v>0</v>
      </c>
    </row>
    <row r="701" spans="1:28" ht="25.5" x14ac:dyDescent="0.25">
      <c r="A701" s="7">
        <v>700</v>
      </c>
      <c r="B701" s="7" t="s">
        <v>15</v>
      </c>
      <c r="C701" s="7" t="s">
        <v>49</v>
      </c>
      <c r="D701" s="7" t="s">
        <v>797</v>
      </c>
      <c r="E701" s="7"/>
      <c r="F701" s="8"/>
      <c r="G701" s="7" t="s">
        <v>797</v>
      </c>
      <c r="H701" s="9">
        <v>37.142257000000001</v>
      </c>
      <c r="I701" s="9">
        <v>9.7872190000000003</v>
      </c>
      <c r="J701" s="7" t="s">
        <v>51</v>
      </c>
      <c r="K701" s="7" t="s">
        <v>37</v>
      </c>
      <c r="L701" s="7"/>
      <c r="M701" s="10">
        <v>7.22</v>
      </c>
      <c r="N701" s="7" t="s">
        <v>78</v>
      </c>
      <c r="O701" s="7"/>
      <c r="P701" s="8" t="s">
        <v>39</v>
      </c>
      <c r="Q701">
        <v>4.62</v>
      </c>
      <c r="R701">
        <v>29.6</v>
      </c>
      <c r="S701" t="s">
        <v>58</v>
      </c>
      <c r="T701">
        <v>14</v>
      </c>
      <c r="U701">
        <f t="shared" si="50"/>
        <v>64.680000000000007</v>
      </c>
      <c r="V701">
        <v>0.9</v>
      </c>
      <c r="W701">
        <v>50</v>
      </c>
      <c r="X701">
        <v>0.35</v>
      </c>
      <c r="Y701">
        <f t="shared" si="51"/>
        <v>17.5</v>
      </c>
      <c r="Z701">
        <f t="shared" si="52"/>
        <v>58.21200000000001</v>
      </c>
      <c r="AA701">
        <f t="shared" si="53"/>
        <v>40.71200000000001</v>
      </c>
      <c r="AB701">
        <f t="shared" si="54"/>
        <v>293.94064000000009</v>
      </c>
    </row>
    <row r="702" spans="1:28" ht="25.5" x14ac:dyDescent="0.25">
      <c r="A702" s="7">
        <v>701</v>
      </c>
      <c r="B702" s="7" t="s">
        <v>15</v>
      </c>
      <c r="C702" s="7" t="s">
        <v>54</v>
      </c>
      <c r="D702" s="7" t="s">
        <v>798</v>
      </c>
      <c r="E702" s="7"/>
      <c r="F702" s="8"/>
      <c r="G702" s="7" t="s">
        <v>798</v>
      </c>
      <c r="H702" s="9">
        <v>33.655557000000002</v>
      </c>
      <c r="I702" s="9">
        <v>10.303442</v>
      </c>
      <c r="J702" s="7" t="s">
        <v>56</v>
      </c>
      <c r="K702" s="7" t="s">
        <v>37</v>
      </c>
      <c r="L702" s="7"/>
      <c r="M702" s="10">
        <v>2.0699999999999998</v>
      </c>
      <c r="N702" s="7" t="s">
        <v>38</v>
      </c>
      <c r="O702" s="7"/>
      <c r="P702" s="8" t="s">
        <v>39</v>
      </c>
      <c r="Q702">
        <v>2.6</v>
      </c>
      <c r="R702">
        <v>33.4</v>
      </c>
      <c r="S702" t="s">
        <v>58</v>
      </c>
      <c r="T702">
        <v>18</v>
      </c>
      <c r="U702">
        <f t="shared" si="50"/>
        <v>46.800000000000004</v>
      </c>
      <c r="V702">
        <v>0.9</v>
      </c>
      <c r="W702">
        <v>80</v>
      </c>
      <c r="X702">
        <v>0.35</v>
      </c>
      <c r="Y702">
        <f t="shared" si="51"/>
        <v>28</v>
      </c>
      <c r="Z702">
        <f t="shared" si="52"/>
        <v>42.120000000000005</v>
      </c>
      <c r="AA702">
        <f t="shared" si="53"/>
        <v>14.120000000000005</v>
      </c>
      <c r="AB702">
        <f t="shared" si="54"/>
        <v>29.228400000000008</v>
      </c>
    </row>
    <row r="703" spans="1:28" ht="25.5" x14ac:dyDescent="0.25">
      <c r="A703" s="7">
        <v>702</v>
      </c>
      <c r="B703" s="7" t="s">
        <v>15</v>
      </c>
      <c r="C703" s="7" t="s">
        <v>59</v>
      </c>
      <c r="D703" s="7" t="s">
        <v>799</v>
      </c>
      <c r="E703" s="7"/>
      <c r="F703" s="8"/>
      <c r="G703" s="7" t="s">
        <v>799</v>
      </c>
      <c r="H703" s="9">
        <v>34.320799999999998</v>
      </c>
      <c r="I703" s="9">
        <v>8.4119240000000008</v>
      </c>
      <c r="J703" s="7" t="s">
        <v>61</v>
      </c>
      <c r="K703" s="7" t="s">
        <v>37</v>
      </c>
      <c r="L703" s="7"/>
      <c r="M703" s="10">
        <v>23.43</v>
      </c>
      <c r="N703" s="7" t="s">
        <v>44</v>
      </c>
      <c r="O703" s="7"/>
      <c r="P703" s="8" t="s">
        <v>39</v>
      </c>
      <c r="Q703">
        <v>7.86</v>
      </c>
      <c r="R703">
        <v>42.5</v>
      </c>
      <c r="S703" t="s">
        <v>40</v>
      </c>
      <c r="T703">
        <v>18</v>
      </c>
      <c r="U703">
        <f t="shared" si="50"/>
        <v>141.48000000000002</v>
      </c>
      <c r="V703">
        <v>0.6</v>
      </c>
      <c r="W703">
        <v>80</v>
      </c>
      <c r="X703">
        <v>0.35</v>
      </c>
      <c r="Y703">
        <f t="shared" si="51"/>
        <v>28</v>
      </c>
      <c r="Z703">
        <f t="shared" si="52"/>
        <v>84.888000000000005</v>
      </c>
      <c r="AA703">
        <f t="shared" si="53"/>
        <v>56.888000000000005</v>
      </c>
      <c r="AB703">
        <f t="shared" si="54"/>
        <v>1332.8858400000001</v>
      </c>
    </row>
    <row r="704" spans="1:28" ht="25.5" x14ac:dyDescent="0.25">
      <c r="A704" s="7">
        <v>703</v>
      </c>
      <c r="B704" s="7" t="s">
        <v>15</v>
      </c>
      <c r="C704" s="7" t="s">
        <v>63</v>
      </c>
      <c r="D704" s="7" t="s">
        <v>800</v>
      </c>
      <c r="E704" s="7"/>
      <c r="F704" s="8"/>
      <c r="G704" s="7" t="s">
        <v>800</v>
      </c>
      <c r="H704" s="9">
        <v>36.969464000000002</v>
      </c>
      <c r="I704" s="9">
        <v>8.7663620000000009</v>
      </c>
      <c r="J704" s="7" t="s">
        <v>65</v>
      </c>
      <c r="K704" s="7" t="s">
        <v>37</v>
      </c>
      <c r="L704" s="7"/>
      <c r="M704" s="10">
        <v>6.88</v>
      </c>
      <c r="N704" s="7" t="s">
        <v>48</v>
      </c>
      <c r="O704" s="7"/>
      <c r="P704" s="8" t="s">
        <v>39</v>
      </c>
      <c r="Q704">
        <v>6.23</v>
      </c>
      <c r="R704">
        <v>42.9</v>
      </c>
      <c r="S704" t="s">
        <v>40</v>
      </c>
      <c r="T704">
        <v>16</v>
      </c>
      <c r="U704">
        <f t="shared" si="50"/>
        <v>99.68</v>
      </c>
      <c r="V704">
        <v>0.54</v>
      </c>
      <c r="W704">
        <v>0</v>
      </c>
      <c r="X704">
        <v>0</v>
      </c>
      <c r="Y704">
        <f t="shared" si="51"/>
        <v>0</v>
      </c>
      <c r="Z704">
        <f t="shared" si="52"/>
        <v>53.827200000000005</v>
      </c>
      <c r="AA704">
        <f t="shared" si="53"/>
        <v>53.827200000000005</v>
      </c>
      <c r="AB704">
        <f t="shared" si="54"/>
        <v>370.33113600000001</v>
      </c>
    </row>
    <row r="705" spans="1:28" ht="25.5" x14ac:dyDescent="0.25">
      <c r="A705" s="7">
        <v>704</v>
      </c>
      <c r="B705" s="7" t="s">
        <v>15</v>
      </c>
      <c r="C705" s="7" t="s">
        <v>67</v>
      </c>
      <c r="D705" s="7" t="s">
        <v>801</v>
      </c>
      <c r="E705" s="7"/>
      <c r="F705" s="8"/>
      <c r="G705" s="7" t="s">
        <v>801</v>
      </c>
      <c r="H705" s="9">
        <v>35.621040999999998</v>
      </c>
      <c r="I705" s="9">
        <v>9.9177789999999995</v>
      </c>
      <c r="J705" s="7" t="s">
        <v>69</v>
      </c>
      <c r="K705" s="7" t="s">
        <v>37</v>
      </c>
      <c r="L705" s="7"/>
      <c r="M705" s="10">
        <v>16.11</v>
      </c>
      <c r="N705" s="7" t="s">
        <v>52</v>
      </c>
      <c r="O705" s="7"/>
      <c r="P705" s="8" t="s">
        <v>39</v>
      </c>
      <c r="Q705">
        <v>5.55</v>
      </c>
      <c r="R705">
        <v>36.6</v>
      </c>
      <c r="S705" t="s">
        <v>40</v>
      </c>
      <c r="T705">
        <v>12</v>
      </c>
      <c r="U705">
        <f t="shared" si="50"/>
        <v>66.599999999999994</v>
      </c>
      <c r="V705">
        <v>0.66</v>
      </c>
      <c r="W705">
        <v>50</v>
      </c>
      <c r="X705">
        <v>0.35</v>
      </c>
      <c r="Y705">
        <f t="shared" si="51"/>
        <v>17.5</v>
      </c>
      <c r="Z705">
        <f t="shared" si="52"/>
        <v>43.955999999999996</v>
      </c>
      <c r="AA705">
        <f t="shared" si="53"/>
        <v>26.455999999999996</v>
      </c>
      <c r="AB705">
        <f t="shared" si="54"/>
        <v>426.2061599999999</v>
      </c>
    </row>
    <row r="706" spans="1:28" ht="25.5" x14ac:dyDescent="0.25">
      <c r="A706" s="7">
        <v>705</v>
      </c>
      <c r="B706" s="7" t="s">
        <v>15</v>
      </c>
      <c r="C706" s="7" t="s">
        <v>71</v>
      </c>
      <c r="D706" s="7" t="s">
        <v>802</v>
      </c>
      <c r="E706" s="7"/>
      <c r="F706" s="8"/>
      <c r="G706" s="7" t="s">
        <v>802</v>
      </c>
      <c r="H706" s="9">
        <v>35.241556000000003</v>
      </c>
      <c r="I706" s="9">
        <v>9.0948930000000008</v>
      </c>
      <c r="J706" s="7" t="s">
        <v>73</v>
      </c>
      <c r="K706" s="7" t="s">
        <v>37</v>
      </c>
      <c r="L706" s="7"/>
      <c r="M706" s="10">
        <v>7.06</v>
      </c>
      <c r="N706" s="7" t="s">
        <v>57</v>
      </c>
      <c r="O706" s="7"/>
      <c r="P706" s="8" t="s">
        <v>39</v>
      </c>
      <c r="Q706">
        <v>6.73</v>
      </c>
      <c r="R706">
        <v>39.5</v>
      </c>
      <c r="S706" t="s">
        <v>40</v>
      </c>
      <c r="T706">
        <v>8</v>
      </c>
      <c r="U706">
        <f t="shared" ref="U706:U769" si="55">Q706*T706</f>
        <v>53.84</v>
      </c>
      <c r="V706">
        <v>0.72</v>
      </c>
      <c r="W706">
        <v>120</v>
      </c>
      <c r="X706">
        <v>0.35</v>
      </c>
      <c r="Y706">
        <f t="shared" ref="Y706:Y769" si="56">W706*X706</f>
        <v>42</v>
      </c>
      <c r="Z706">
        <f t="shared" ref="Z706:Z769" si="57">U706*V706</f>
        <v>38.764800000000001</v>
      </c>
      <c r="AA706">
        <f t="shared" ref="AA706:AA769" si="58">MAX(0,Z706-Y706)</f>
        <v>0</v>
      </c>
      <c r="AB706">
        <f t="shared" si="54"/>
        <v>0</v>
      </c>
    </row>
    <row r="707" spans="1:28" ht="25.5" x14ac:dyDescent="0.25">
      <c r="A707" s="7">
        <v>706</v>
      </c>
      <c r="B707" s="7" t="s">
        <v>15</v>
      </c>
      <c r="C707" s="7" t="s">
        <v>75</v>
      </c>
      <c r="D707" s="7" t="s">
        <v>803</v>
      </c>
      <c r="E707" s="7"/>
      <c r="F707" s="8"/>
      <c r="G707" s="7" t="s">
        <v>803</v>
      </c>
      <c r="H707" s="9">
        <v>33.466979000000002</v>
      </c>
      <c r="I707" s="9">
        <v>9.0333959999999998</v>
      </c>
      <c r="J707" s="7" t="s">
        <v>77</v>
      </c>
      <c r="K707" s="7" t="s">
        <v>37</v>
      </c>
      <c r="L707" s="7"/>
      <c r="M707" s="10">
        <v>0.87</v>
      </c>
      <c r="N707" s="7" t="s">
        <v>62</v>
      </c>
      <c r="O707" s="7"/>
      <c r="P707" s="8" t="s">
        <v>39</v>
      </c>
      <c r="Q707">
        <v>4.29</v>
      </c>
      <c r="R707">
        <v>13.1</v>
      </c>
      <c r="S707" t="s">
        <v>91</v>
      </c>
      <c r="T707">
        <v>7</v>
      </c>
      <c r="U707">
        <f t="shared" si="55"/>
        <v>30.03</v>
      </c>
      <c r="V707">
        <v>1.49</v>
      </c>
      <c r="W707">
        <v>50</v>
      </c>
      <c r="X707">
        <v>0.35</v>
      </c>
      <c r="Y707">
        <f t="shared" si="56"/>
        <v>17.5</v>
      </c>
      <c r="Z707">
        <f t="shared" si="57"/>
        <v>44.744700000000002</v>
      </c>
      <c r="AA707">
        <f t="shared" si="58"/>
        <v>27.244700000000002</v>
      </c>
      <c r="AB707">
        <f t="shared" ref="AB707:AB770" si="59">AA707*M707</f>
        <v>23.702889000000003</v>
      </c>
    </row>
    <row r="708" spans="1:28" ht="25.5" x14ac:dyDescent="0.25">
      <c r="A708" s="7">
        <v>707</v>
      </c>
      <c r="B708" s="7" t="s">
        <v>15</v>
      </c>
      <c r="C708" s="7" t="s">
        <v>79</v>
      </c>
      <c r="D708" s="7" t="s">
        <v>804</v>
      </c>
      <c r="E708" s="7"/>
      <c r="F708" s="8"/>
      <c r="G708" s="7" t="s">
        <v>804</v>
      </c>
      <c r="H708" s="9">
        <v>35.919096000000003</v>
      </c>
      <c r="I708" s="9">
        <v>8.8547069999999994</v>
      </c>
      <c r="J708" s="7" t="s">
        <v>81</v>
      </c>
      <c r="K708" s="7" t="s">
        <v>37</v>
      </c>
      <c r="L708" s="7"/>
      <c r="M708" s="10">
        <v>20.74</v>
      </c>
      <c r="N708" s="7" t="s">
        <v>66</v>
      </c>
      <c r="O708" s="7"/>
      <c r="P708" s="8" t="s">
        <v>39</v>
      </c>
      <c r="Q708">
        <v>2.2000000000000002</v>
      </c>
      <c r="R708">
        <v>17.5</v>
      </c>
      <c r="S708" t="s">
        <v>53</v>
      </c>
      <c r="T708">
        <v>10</v>
      </c>
      <c r="U708">
        <f t="shared" si="55"/>
        <v>22</v>
      </c>
      <c r="V708">
        <v>0.92</v>
      </c>
      <c r="W708">
        <v>0</v>
      </c>
      <c r="X708">
        <v>0</v>
      </c>
      <c r="Y708">
        <f t="shared" si="56"/>
        <v>0</v>
      </c>
      <c r="Z708">
        <f t="shared" si="57"/>
        <v>20.240000000000002</v>
      </c>
      <c r="AA708">
        <f t="shared" si="58"/>
        <v>20.240000000000002</v>
      </c>
      <c r="AB708">
        <f t="shared" si="59"/>
        <v>419.77760000000001</v>
      </c>
    </row>
    <row r="709" spans="1:28" ht="25.5" x14ac:dyDescent="0.25">
      <c r="A709" s="7">
        <v>708</v>
      </c>
      <c r="B709" s="7" t="s">
        <v>15</v>
      </c>
      <c r="C709" s="7" t="s">
        <v>82</v>
      </c>
      <c r="D709" s="7" t="s">
        <v>805</v>
      </c>
      <c r="E709" s="7"/>
      <c r="F709" s="8"/>
      <c r="G709" s="7" t="s">
        <v>805</v>
      </c>
      <c r="H709" s="9">
        <v>35.235348999999999</v>
      </c>
      <c r="I709" s="9">
        <v>11.108219999999999</v>
      </c>
      <c r="J709" s="7" t="s">
        <v>84</v>
      </c>
      <c r="K709" s="7" t="s">
        <v>37</v>
      </c>
      <c r="L709" s="7"/>
      <c r="M709" s="10">
        <v>13.28</v>
      </c>
      <c r="N709" s="7" t="s">
        <v>70</v>
      </c>
      <c r="O709" s="7"/>
      <c r="P709" s="8" t="s">
        <v>39</v>
      </c>
      <c r="Q709">
        <v>5.42</v>
      </c>
      <c r="R709">
        <v>14</v>
      </c>
      <c r="S709" t="s">
        <v>91</v>
      </c>
      <c r="T709">
        <v>9</v>
      </c>
      <c r="U709">
        <f t="shared" si="55"/>
        <v>48.78</v>
      </c>
      <c r="V709">
        <v>1.22</v>
      </c>
      <c r="W709">
        <v>0</v>
      </c>
      <c r="X709">
        <v>0</v>
      </c>
      <c r="Y709">
        <f t="shared" si="56"/>
        <v>0</v>
      </c>
      <c r="Z709">
        <f t="shared" si="57"/>
        <v>59.511600000000001</v>
      </c>
      <c r="AA709">
        <f t="shared" si="58"/>
        <v>59.511600000000001</v>
      </c>
      <c r="AB709">
        <f t="shared" si="59"/>
        <v>790.31404799999996</v>
      </c>
    </row>
    <row r="710" spans="1:28" ht="25.5" x14ac:dyDescent="0.25">
      <c r="A710" s="7">
        <v>709</v>
      </c>
      <c r="B710" s="7" t="s">
        <v>15</v>
      </c>
      <c r="C710" s="7" t="s">
        <v>85</v>
      </c>
      <c r="D710" s="7" t="s">
        <v>806</v>
      </c>
      <c r="E710" s="7"/>
      <c r="F710" s="8"/>
      <c r="G710" s="7" t="s">
        <v>806</v>
      </c>
      <c r="H710" s="9">
        <v>36.813836000000002</v>
      </c>
      <c r="I710" s="9">
        <v>9.8585329999999995</v>
      </c>
      <c r="J710" s="7" t="s">
        <v>87</v>
      </c>
      <c r="K710" s="7" t="s">
        <v>37</v>
      </c>
      <c r="L710" s="7"/>
      <c r="M710" s="10">
        <v>18.66</v>
      </c>
      <c r="N710" s="7" t="s">
        <v>74</v>
      </c>
      <c r="O710" s="7"/>
      <c r="P710" s="8" t="s">
        <v>39</v>
      </c>
      <c r="Q710">
        <v>6.24</v>
      </c>
      <c r="R710">
        <v>40</v>
      </c>
      <c r="S710" t="s">
        <v>40</v>
      </c>
      <c r="T710">
        <v>10</v>
      </c>
      <c r="U710">
        <f t="shared" si="55"/>
        <v>62.400000000000006</v>
      </c>
      <c r="V710">
        <v>0.54</v>
      </c>
      <c r="W710">
        <v>80</v>
      </c>
      <c r="X710">
        <v>0.35</v>
      </c>
      <c r="Y710">
        <f t="shared" si="56"/>
        <v>28</v>
      </c>
      <c r="Z710">
        <f t="shared" si="57"/>
        <v>33.696000000000005</v>
      </c>
      <c r="AA710">
        <f t="shared" si="58"/>
        <v>5.6960000000000051</v>
      </c>
      <c r="AB710">
        <f t="shared" si="59"/>
        <v>106.28736000000009</v>
      </c>
    </row>
    <row r="711" spans="1:28" ht="25.5" x14ac:dyDescent="0.25">
      <c r="A711" s="7">
        <v>710</v>
      </c>
      <c r="B711" s="7" t="s">
        <v>15</v>
      </c>
      <c r="C711" s="7" t="s">
        <v>88</v>
      </c>
      <c r="D711" s="7" t="s">
        <v>807</v>
      </c>
      <c r="E711" s="7"/>
      <c r="F711" s="8"/>
      <c r="G711" s="7" t="s">
        <v>807</v>
      </c>
      <c r="H711" s="9">
        <v>33.806412000000002</v>
      </c>
      <c r="I711" s="9">
        <v>10.985939999999999</v>
      </c>
      <c r="J711" s="7" t="s">
        <v>90</v>
      </c>
      <c r="K711" s="7" t="s">
        <v>37</v>
      </c>
      <c r="L711" s="7"/>
      <c r="M711" s="10">
        <v>11.17</v>
      </c>
      <c r="N711" s="7" t="s">
        <v>78</v>
      </c>
      <c r="O711" s="7"/>
      <c r="P711" s="8" t="s">
        <v>39</v>
      </c>
      <c r="Q711">
        <v>6.86</v>
      </c>
      <c r="R711">
        <v>20.8</v>
      </c>
      <c r="S711" t="s">
        <v>53</v>
      </c>
      <c r="T711">
        <v>14</v>
      </c>
      <c r="U711">
        <f t="shared" si="55"/>
        <v>96.04</v>
      </c>
      <c r="V711">
        <v>1.1499999999999999</v>
      </c>
      <c r="W711">
        <v>160</v>
      </c>
      <c r="X711">
        <v>0.35</v>
      </c>
      <c r="Y711">
        <f t="shared" si="56"/>
        <v>56</v>
      </c>
      <c r="Z711">
        <f t="shared" si="57"/>
        <v>110.446</v>
      </c>
      <c r="AA711">
        <f t="shared" si="58"/>
        <v>54.445999999999998</v>
      </c>
      <c r="AB711">
        <f t="shared" si="59"/>
        <v>608.16181999999992</v>
      </c>
    </row>
    <row r="712" spans="1:28" ht="25.5" x14ac:dyDescent="0.25">
      <c r="A712" s="7">
        <v>711</v>
      </c>
      <c r="B712" s="7" t="s">
        <v>15</v>
      </c>
      <c r="C712" s="7" t="s">
        <v>92</v>
      </c>
      <c r="D712" s="7" t="s">
        <v>808</v>
      </c>
      <c r="E712" s="7"/>
      <c r="F712" s="8"/>
      <c r="G712" s="7" t="s">
        <v>808</v>
      </c>
      <c r="H712" s="9">
        <v>35.611604</v>
      </c>
      <c r="I712" s="9">
        <v>10.751564</v>
      </c>
      <c r="J712" s="7" t="s">
        <v>94</v>
      </c>
      <c r="K712" s="7" t="s">
        <v>37</v>
      </c>
      <c r="L712" s="7"/>
      <c r="M712" s="10">
        <v>4.12</v>
      </c>
      <c r="N712" s="7" t="s">
        <v>38</v>
      </c>
      <c r="O712" s="7"/>
      <c r="P712" s="8" t="s">
        <v>39</v>
      </c>
      <c r="Q712">
        <v>6.24</v>
      </c>
      <c r="R712">
        <v>30.4</v>
      </c>
      <c r="S712" t="s">
        <v>58</v>
      </c>
      <c r="T712">
        <v>18</v>
      </c>
      <c r="U712">
        <f t="shared" si="55"/>
        <v>112.32000000000001</v>
      </c>
      <c r="V712">
        <v>0.9</v>
      </c>
      <c r="W712">
        <v>120</v>
      </c>
      <c r="X712">
        <v>0.35</v>
      </c>
      <c r="Y712">
        <f t="shared" si="56"/>
        <v>42</v>
      </c>
      <c r="Z712">
        <f t="shared" si="57"/>
        <v>101.08800000000001</v>
      </c>
      <c r="AA712">
        <f t="shared" si="58"/>
        <v>59.088000000000008</v>
      </c>
      <c r="AB712">
        <f t="shared" si="59"/>
        <v>243.44256000000004</v>
      </c>
    </row>
    <row r="713" spans="1:28" ht="25.5" x14ac:dyDescent="0.25">
      <c r="A713" s="7">
        <v>712</v>
      </c>
      <c r="B713" s="7" t="s">
        <v>15</v>
      </c>
      <c r="C713" s="7" t="s">
        <v>95</v>
      </c>
      <c r="D713" s="7" t="s">
        <v>809</v>
      </c>
      <c r="E713" s="7"/>
      <c r="F713" s="8"/>
      <c r="G713" s="7" t="s">
        <v>809</v>
      </c>
      <c r="H713" s="9">
        <v>36.552489999999999</v>
      </c>
      <c r="I713" s="9">
        <v>10.886777</v>
      </c>
      <c r="J713" s="7" t="s">
        <v>97</v>
      </c>
      <c r="K713" s="7" t="s">
        <v>37</v>
      </c>
      <c r="L713" s="7"/>
      <c r="M713" s="10">
        <v>16.79</v>
      </c>
      <c r="N713" s="7" t="s">
        <v>44</v>
      </c>
      <c r="O713" s="7"/>
      <c r="P713" s="8" t="s">
        <v>39</v>
      </c>
      <c r="Q713">
        <v>4.2</v>
      </c>
      <c r="R713">
        <v>23.5</v>
      </c>
      <c r="S713" t="s">
        <v>53</v>
      </c>
      <c r="T713">
        <v>18</v>
      </c>
      <c r="U713">
        <f t="shared" si="55"/>
        <v>75.600000000000009</v>
      </c>
      <c r="V713">
        <v>1.1499999999999999</v>
      </c>
      <c r="W713">
        <v>120</v>
      </c>
      <c r="X713">
        <v>0.35</v>
      </c>
      <c r="Y713">
        <f t="shared" si="56"/>
        <v>42</v>
      </c>
      <c r="Z713">
        <f t="shared" si="57"/>
        <v>86.94</v>
      </c>
      <c r="AA713">
        <f t="shared" si="58"/>
        <v>44.94</v>
      </c>
      <c r="AB713">
        <f t="shared" si="59"/>
        <v>754.54259999999988</v>
      </c>
    </row>
    <row r="714" spans="1:28" ht="25.5" x14ac:dyDescent="0.25">
      <c r="A714" s="7">
        <v>713</v>
      </c>
      <c r="B714" s="7" t="s">
        <v>15</v>
      </c>
      <c r="C714" s="7" t="s">
        <v>98</v>
      </c>
      <c r="D714" s="7" t="s">
        <v>810</v>
      </c>
      <c r="E714" s="7"/>
      <c r="F714" s="8"/>
      <c r="G714" s="7" t="s">
        <v>810</v>
      </c>
      <c r="H714" s="9">
        <v>34.771186</v>
      </c>
      <c r="I714" s="9">
        <v>10.506026</v>
      </c>
      <c r="J714" s="7" t="s">
        <v>100</v>
      </c>
      <c r="K714" s="7" t="s">
        <v>37</v>
      </c>
      <c r="L714" s="7"/>
      <c r="M714" s="10">
        <v>12.16</v>
      </c>
      <c r="N714" s="7" t="s">
        <v>48</v>
      </c>
      <c r="O714" s="7"/>
      <c r="P714" s="8" t="s">
        <v>39</v>
      </c>
      <c r="Q714">
        <v>6.6</v>
      </c>
      <c r="R714">
        <v>43.7</v>
      </c>
      <c r="S714" t="s">
        <v>40</v>
      </c>
      <c r="T714">
        <v>16</v>
      </c>
      <c r="U714">
        <f t="shared" si="55"/>
        <v>105.6</v>
      </c>
      <c r="V714">
        <v>0.54</v>
      </c>
      <c r="W714">
        <v>0</v>
      </c>
      <c r="X714">
        <v>0</v>
      </c>
      <c r="Y714">
        <f t="shared" si="56"/>
        <v>0</v>
      </c>
      <c r="Z714">
        <f t="shared" si="57"/>
        <v>57.024000000000001</v>
      </c>
      <c r="AA714">
        <f t="shared" si="58"/>
        <v>57.024000000000001</v>
      </c>
      <c r="AB714">
        <f t="shared" si="59"/>
        <v>693.41183999999998</v>
      </c>
    </row>
    <row r="715" spans="1:28" ht="25.5" x14ac:dyDescent="0.25">
      <c r="A715" s="7">
        <v>714</v>
      </c>
      <c r="B715" s="7" t="s">
        <v>15</v>
      </c>
      <c r="C715" s="7" t="s">
        <v>101</v>
      </c>
      <c r="D715" s="7" t="s">
        <v>811</v>
      </c>
      <c r="E715" s="7"/>
      <c r="F715" s="8"/>
      <c r="G715" s="7" t="s">
        <v>811</v>
      </c>
      <c r="H715" s="9">
        <v>34.922682999999999</v>
      </c>
      <c r="I715" s="9">
        <v>9.7657629999999997</v>
      </c>
      <c r="J715" s="7" t="s">
        <v>103</v>
      </c>
      <c r="K715" s="7" t="s">
        <v>37</v>
      </c>
      <c r="L715" s="7"/>
      <c r="M715" s="10">
        <v>23.05</v>
      </c>
      <c r="N715" s="7" t="s">
        <v>52</v>
      </c>
      <c r="O715" s="7"/>
      <c r="P715" s="8" t="s">
        <v>39</v>
      </c>
      <c r="Q715">
        <v>7.89</v>
      </c>
      <c r="R715">
        <v>36.5</v>
      </c>
      <c r="S715" t="s">
        <v>40</v>
      </c>
      <c r="T715">
        <v>12</v>
      </c>
      <c r="U715">
        <f t="shared" si="55"/>
        <v>94.679999999999993</v>
      </c>
      <c r="V715">
        <v>0.66</v>
      </c>
      <c r="W715">
        <v>0</v>
      </c>
      <c r="X715">
        <v>0</v>
      </c>
      <c r="Y715">
        <f t="shared" si="56"/>
        <v>0</v>
      </c>
      <c r="Z715">
        <f t="shared" si="57"/>
        <v>62.488799999999998</v>
      </c>
      <c r="AA715">
        <f t="shared" si="58"/>
        <v>62.488799999999998</v>
      </c>
      <c r="AB715">
        <f t="shared" si="59"/>
        <v>1440.3668399999999</v>
      </c>
    </row>
    <row r="716" spans="1:28" ht="25.5" x14ac:dyDescent="0.25">
      <c r="A716" s="7">
        <v>715</v>
      </c>
      <c r="B716" s="7" t="s">
        <v>15</v>
      </c>
      <c r="C716" s="7" t="s">
        <v>104</v>
      </c>
      <c r="D716" s="7" t="s">
        <v>812</v>
      </c>
      <c r="E716" s="7"/>
      <c r="F716" s="8"/>
      <c r="G716" s="7" t="s">
        <v>812</v>
      </c>
      <c r="H716" s="9">
        <v>35.856397999999999</v>
      </c>
      <c r="I716" s="9">
        <v>9.2069849999999995</v>
      </c>
      <c r="J716" s="7" t="s">
        <v>106</v>
      </c>
      <c r="K716" s="7" t="s">
        <v>37</v>
      </c>
      <c r="L716" s="7"/>
      <c r="M716" s="10">
        <v>3.66</v>
      </c>
      <c r="N716" s="7" t="s">
        <v>57</v>
      </c>
      <c r="O716" s="7"/>
      <c r="P716" s="8" t="s">
        <v>39</v>
      </c>
      <c r="Q716">
        <v>7.18</v>
      </c>
      <c r="R716">
        <v>33.1</v>
      </c>
      <c r="S716" t="s">
        <v>58</v>
      </c>
      <c r="T716">
        <v>8</v>
      </c>
      <c r="U716">
        <f t="shared" si="55"/>
        <v>57.44</v>
      </c>
      <c r="V716">
        <v>1.08</v>
      </c>
      <c r="W716">
        <v>0</v>
      </c>
      <c r="X716">
        <v>0</v>
      </c>
      <c r="Y716">
        <f t="shared" si="56"/>
        <v>0</v>
      </c>
      <c r="Z716">
        <f t="shared" si="57"/>
        <v>62.035200000000003</v>
      </c>
      <c r="AA716">
        <f t="shared" si="58"/>
        <v>62.035200000000003</v>
      </c>
      <c r="AB716">
        <f t="shared" si="59"/>
        <v>227.04883200000003</v>
      </c>
    </row>
    <row r="717" spans="1:28" ht="25.5" x14ac:dyDescent="0.25">
      <c r="A717" s="7">
        <v>716</v>
      </c>
      <c r="B717" s="7" t="s">
        <v>15</v>
      </c>
      <c r="C717" s="7" t="s">
        <v>107</v>
      </c>
      <c r="D717" s="7" t="s">
        <v>813</v>
      </c>
      <c r="E717" s="7"/>
      <c r="F717" s="8"/>
      <c r="G717" s="7" t="s">
        <v>813</v>
      </c>
      <c r="H717" s="9">
        <v>36.124994000000001</v>
      </c>
      <c r="I717" s="9">
        <v>10.402289</v>
      </c>
      <c r="J717" s="7" t="s">
        <v>109</v>
      </c>
      <c r="K717" s="7" t="s">
        <v>37</v>
      </c>
      <c r="L717" s="7"/>
      <c r="M717" s="10">
        <v>15.8</v>
      </c>
      <c r="N717" s="7" t="s">
        <v>62</v>
      </c>
      <c r="O717" s="7"/>
      <c r="P717" s="8" t="s">
        <v>39</v>
      </c>
      <c r="Q717">
        <v>7.54</v>
      </c>
      <c r="R717">
        <v>44.4</v>
      </c>
      <c r="S717" t="s">
        <v>40</v>
      </c>
      <c r="T717">
        <v>7</v>
      </c>
      <c r="U717">
        <f t="shared" si="55"/>
        <v>52.78</v>
      </c>
      <c r="V717">
        <v>0.66</v>
      </c>
      <c r="W717">
        <v>0</v>
      </c>
      <c r="X717">
        <v>0</v>
      </c>
      <c r="Y717">
        <f t="shared" si="56"/>
        <v>0</v>
      </c>
      <c r="Z717">
        <f t="shared" si="57"/>
        <v>34.834800000000001</v>
      </c>
      <c r="AA717">
        <f t="shared" si="58"/>
        <v>34.834800000000001</v>
      </c>
      <c r="AB717">
        <f t="shared" si="59"/>
        <v>550.38984000000005</v>
      </c>
    </row>
    <row r="718" spans="1:28" ht="25.5" x14ac:dyDescent="0.25">
      <c r="A718" s="7">
        <v>717</v>
      </c>
      <c r="B718" s="7" t="s">
        <v>15</v>
      </c>
      <c r="C718" s="7" t="s">
        <v>110</v>
      </c>
      <c r="D718" s="7" t="s">
        <v>814</v>
      </c>
      <c r="E718" s="7"/>
      <c r="F718" s="8"/>
      <c r="G718" s="7" t="s">
        <v>814</v>
      </c>
      <c r="H718" s="9">
        <v>33.174723999999998</v>
      </c>
      <c r="I718" s="9">
        <v>10.219267</v>
      </c>
      <c r="J718" s="7" t="s">
        <v>112</v>
      </c>
      <c r="K718" s="7" t="s">
        <v>37</v>
      </c>
      <c r="L718" s="7"/>
      <c r="M718" s="10">
        <v>12.14</v>
      </c>
      <c r="N718" s="7" t="s">
        <v>66</v>
      </c>
      <c r="O718" s="7"/>
      <c r="P718" s="8" t="s">
        <v>39</v>
      </c>
      <c r="Q718">
        <v>3.09</v>
      </c>
      <c r="R718">
        <v>15.3</v>
      </c>
      <c r="S718" t="s">
        <v>53</v>
      </c>
      <c r="T718">
        <v>10</v>
      </c>
      <c r="U718">
        <f t="shared" si="55"/>
        <v>30.9</v>
      </c>
      <c r="V718">
        <v>0.92</v>
      </c>
      <c r="W718">
        <v>80</v>
      </c>
      <c r="X718">
        <v>0.35</v>
      </c>
      <c r="Y718">
        <f t="shared" si="56"/>
        <v>28</v>
      </c>
      <c r="Z718">
        <f t="shared" si="57"/>
        <v>28.428000000000001</v>
      </c>
      <c r="AA718">
        <f t="shared" si="58"/>
        <v>0.42800000000000082</v>
      </c>
      <c r="AB718">
        <f t="shared" si="59"/>
        <v>5.1959200000000099</v>
      </c>
    </row>
    <row r="719" spans="1:28" ht="25.5" x14ac:dyDescent="0.25">
      <c r="A719" s="7">
        <v>718</v>
      </c>
      <c r="B719" s="7" t="s">
        <v>15</v>
      </c>
      <c r="C719" s="7" t="s">
        <v>113</v>
      </c>
      <c r="D719" s="7" t="s">
        <v>815</v>
      </c>
      <c r="E719" s="7"/>
      <c r="F719" s="8"/>
      <c r="G719" s="7" t="s">
        <v>815</v>
      </c>
      <c r="H719" s="9">
        <v>33.886673999999999</v>
      </c>
      <c r="I719" s="9">
        <v>7.887899</v>
      </c>
      <c r="J719" s="7" t="s">
        <v>115</v>
      </c>
      <c r="K719" s="7" t="s">
        <v>37</v>
      </c>
      <c r="L719" s="7"/>
      <c r="M719" s="10">
        <v>7.86</v>
      </c>
      <c r="N719" s="7" t="s">
        <v>70</v>
      </c>
      <c r="O719" s="7"/>
      <c r="P719" s="8" t="s">
        <v>39</v>
      </c>
      <c r="Q719">
        <v>4.13</v>
      </c>
      <c r="R719">
        <v>26.3</v>
      </c>
      <c r="S719" t="s">
        <v>58</v>
      </c>
      <c r="T719">
        <v>9</v>
      </c>
      <c r="U719">
        <f t="shared" si="55"/>
        <v>37.17</v>
      </c>
      <c r="V719">
        <v>0.81</v>
      </c>
      <c r="W719">
        <v>0</v>
      </c>
      <c r="X719">
        <v>0</v>
      </c>
      <c r="Y719">
        <f t="shared" si="56"/>
        <v>0</v>
      </c>
      <c r="Z719">
        <f t="shared" si="57"/>
        <v>30.107700000000005</v>
      </c>
      <c r="AA719">
        <f t="shared" si="58"/>
        <v>30.107700000000005</v>
      </c>
      <c r="AB719">
        <f t="shared" si="59"/>
        <v>236.64652200000006</v>
      </c>
    </row>
    <row r="720" spans="1:28" ht="25.5" x14ac:dyDescent="0.25">
      <c r="A720" s="7">
        <v>719</v>
      </c>
      <c r="B720" s="7" t="s">
        <v>15</v>
      </c>
      <c r="C720" s="7" t="s">
        <v>116</v>
      </c>
      <c r="D720" s="7" t="s">
        <v>816</v>
      </c>
      <c r="E720" s="7"/>
      <c r="F720" s="8"/>
      <c r="G720" s="7" t="s">
        <v>816</v>
      </c>
      <c r="H720" s="9">
        <v>36.840007</v>
      </c>
      <c r="I720" s="9">
        <v>10.301131</v>
      </c>
      <c r="J720" s="7" t="s">
        <v>118</v>
      </c>
      <c r="K720" s="7" t="s">
        <v>37</v>
      </c>
      <c r="L720" s="7"/>
      <c r="M720" s="10">
        <v>15.42</v>
      </c>
      <c r="N720" s="7" t="s">
        <v>74</v>
      </c>
      <c r="O720" s="7"/>
      <c r="P720" s="8" t="s">
        <v>39</v>
      </c>
      <c r="Q720">
        <v>2.92</v>
      </c>
      <c r="R720">
        <v>18.899999999999999</v>
      </c>
      <c r="S720" t="s">
        <v>53</v>
      </c>
      <c r="T720">
        <v>10</v>
      </c>
      <c r="U720">
        <f t="shared" si="55"/>
        <v>29.2</v>
      </c>
      <c r="V720">
        <v>1.03</v>
      </c>
      <c r="W720">
        <v>50</v>
      </c>
      <c r="X720">
        <v>0.35</v>
      </c>
      <c r="Y720">
        <f t="shared" si="56"/>
        <v>17.5</v>
      </c>
      <c r="Z720">
        <f t="shared" si="57"/>
        <v>30.076000000000001</v>
      </c>
      <c r="AA720">
        <f t="shared" si="58"/>
        <v>12.576000000000001</v>
      </c>
      <c r="AB720">
        <f t="shared" si="59"/>
        <v>193.92192</v>
      </c>
    </row>
    <row r="721" spans="1:28" ht="25.5" x14ac:dyDescent="0.25">
      <c r="A721" s="7">
        <v>720</v>
      </c>
      <c r="B721" s="7" t="s">
        <v>15</v>
      </c>
      <c r="C721" s="7" t="s">
        <v>119</v>
      </c>
      <c r="D721" s="7" t="s">
        <v>817</v>
      </c>
      <c r="E721" s="7"/>
      <c r="F721" s="8"/>
      <c r="G721" s="7" t="s">
        <v>817</v>
      </c>
      <c r="H721" s="9">
        <v>36.360045</v>
      </c>
      <c r="I721" s="9">
        <v>9.6234599999999997</v>
      </c>
      <c r="J721" s="7" t="s">
        <v>121</v>
      </c>
      <c r="K721" s="7" t="s">
        <v>37</v>
      </c>
      <c r="L721" s="7"/>
      <c r="M721" s="10">
        <v>18.72</v>
      </c>
      <c r="N721" s="7" t="s">
        <v>78</v>
      </c>
      <c r="O721" s="7"/>
      <c r="P721" s="8" t="s">
        <v>39</v>
      </c>
      <c r="Q721">
        <v>2.27</v>
      </c>
      <c r="R721">
        <v>44.5</v>
      </c>
      <c r="S721" t="s">
        <v>40</v>
      </c>
      <c r="T721">
        <v>14</v>
      </c>
      <c r="U721">
        <f t="shared" si="55"/>
        <v>31.78</v>
      </c>
      <c r="V721">
        <v>0.6</v>
      </c>
      <c r="W721">
        <v>120</v>
      </c>
      <c r="X721">
        <v>0.35</v>
      </c>
      <c r="Y721">
        <f t="shared" si="56"/>
        <v>42</v>
      </c>
      <c r="Z721">
        <f t="shared" si="57"/>
        <v>19.068000000000001</v>
      </c>
      <c r="AA721">
        <f t="shared" si="58"/>
        <v>0</v>
      </c>
      <c r="AB721">
        <f t="shared" si="59"/>
        <v>0</v>
      </c>
    </row>
    <row r="722" spans="1:28" ht="25.5" x14ac:dyDescent="0.25">
      <c r="A722" s="7">
        <v>721</v>
      </c>
      <c r="B722" s="7" t="s">
        <v>15</v>
      </c>
      <c r="C722" s="7" t="s">
        <v>34</v>
      </c>
      <c r="D722" s="7" t="s">
        <v>818</v>
      </c>
      <c r="E722" s="7"/>
      <c r="F722" s="8"/>
      <c r="G722" s="7" t="s">
        <v>818</v>
      </c>
      <c r="H722" s="9">
        <v>36.909621000000001</v>
      </c>
      <c r="I722" s="9">
        <v>10.238611000000001</v>
      </c>
      <c r="J722" s="7" t="s">
        <v>36</v>
      </c>
      <c r="K722" s="7" t="s">
        <v>37</v>
      </c>
      <c r="L722" s="7"/>
      <c r="M722" s="10">
        <v>8.5399999999999991</v>
      </c>
      <c r="N722" s="7" t="s">
        <v>38</v>
      </c>
      <c r="O722" s="7"/>
      <c r="P722" s="8" t="s">
        <v>39</v>
      </c>
      <c r="Q722">
        <v>3.3</v>
      </c>
      <c r="R722">
        <v>44.8</v>
      </c>
      <c r="S722" t="s">
        <v>40</v>
      </c>
      <c r="T722">
        <v>18</v>
      </c>
      <c r="U722">
        <f t="shared" si="55"/>
        <v>59.4</v>
      </c>
      <c r="V722">
        <v>0.6</v>
      </c>
      <c r="W722">
        <v>0</v>
      </c>
      <c r="X722">
        <v>0</v>
      </c>
      <c r="Y722">
        <f t="shared" si="56"/>
        <v>0</v>
      </c>
      <c r="Z722">
        <f t="shared" si="57"/>
        <v>35.64</v>
      </c>
      <c r="AA722">
        <f t="shared" si="58"/>
        <v>35.64</v>
      </c>
      <c r="AB722">
        <f t="shared" si="59"/>
        <v>304.36559999999997</v>
      </c>
    </row>
    <row r="723" spans="1:28" ht="25.5" x14ac:dyDescent="0.25">
      <c r="A723" s="7">
        <v>722</v>
      </c>
      <c r="B723" s="7" t="s">
        <v>15</v>
      </c>
      <c r="C723" s="7" t="s">
        <v>41</v>
      </c>
      <c r="D723" s="7" t="s">
        <v>819</v>
      </c>
      <c r="E723" s="7"/>
      <c r="F723" s="8"/>
      <c r="G723" s="7" t="s">
        <v>819</v>
      </c>
      <c r="H723" s="9">
        <v>36.655698999999998</v>
      </c>
      <c r="I723" s="9">
        <v>9.5906409999999997</v>
      </c>
      <c r="J723" s="7" t="s">
        <v>43</v>
      </c>
      <c r="K723" s="7" t="s">
        <v>37</v>
      </c>
      <c r="L723" s="7"/>
      <c r="M723" s="10">
        <v>17.27</v>
      </c>
      <c r="N723" s="7" t="s">
        <v>44</v>
      </c>
      <c r="O723" s="7"/>
      <c r="P723" s="8" t="s">
        <v>39</v>
      </c>
      <c r="Q723">
        <v>4.3</v>
      </c>
      <c r="R723">
        <v>33.5</v>
      </c>
      <c r="S723" t="s">
        <v>58</v>
      </c>
      <c r="T723">
        <v>18</v>
      </c>
      <c r="U723">
        <f t="shared" si="55"/>
        <v>77.399999999999991</v>
      </c>
      <c r="V723">
        <v>0.9</v>
      </c>
      <c r="W723">
        <v>0</v>
      </c>
      <c r="X723">
        <v>0</v>
      </c>
      <c r="Y723">
        <f t="shared" si="56"/>
        <v>0</v>
      </c>
      <c r="Z723">
        <f t="shared" si="57"/>
        <v>69.66</v>
      </c>
      <c r="AA723">
        <f t="shared" si="58"/>
        <v>69.66</v>
      </c>
      <c r="AB723">
        <f t="shared" si="59"/>
        <v>1203.0282</v>
      </c>
    </row>
    <row r="724" spans="1:28" ht="25.5" x14ac:dyDescent="0.25">
      <c r="A724" s="7">
        <v>723</v>
      </c>
      <c r="B724" s="7" t="s">
        <v>15</v>
      </c>
      <c r="C724" s="7" t="s">
        <v>45</v>
      </c>
      <c r="D724" s="7" t="s">
        <v>820</v>
      </c>
      <c r="E724" s="7"/>
      <c r="F724" s="8"/>
      <c r="G724" s="7" t="s">
        <v>820</v>
      </c>
      <c r="H724" s="9">
        <v>36.628138</v>
      </c>
      <c r="I724" s="9">
        <v>10.325654</v>
      </c>
      <c r="J724" s="7" t="s">
        <v>47</v>
      </c>
      <c r="K724" s="7" t="s">
        <v>37</v>
      </c>
      <c r="L724" s="7"/>
      <c r="M724" s="10">
        <v>13.24</v>
      </c>
      <c r="N724" s="7" t="s">
        <v>48</v>
      </c>
      <c r="O724" s="7"/>
      <c r="P724" s="8" t="s">
        <v>39</v>
      </c>
      <c r="Q724">
        <v>7.64</v>
      </c>
      <c r="R724">
        <v>43.6</v>
      </c>
      <c r="S724" t="s">
        <v>40</v>
      </c>
      <c r="T724">
        <v>16</v>
      </c>
      <c r="U724">
        <f t="shared" si="55"/>
        <v>122.24</v>
      </c>
      <c r="V724">
        <v>0.54</v>
      </c>
      <c r="W724">
        <v>120</v>
      </c>
      <c r="X724">
        <v>0.35</v>
      </c>
      <c r="Y724">
        <f t="shared" si="56"/>
        <v>42</v>
      </c>
      <c r="Z724">
        <f t="shared" si="57"/>
        <v>66.009600000000006</v>
      </c>
      <c r="AA724">
        <f t="shared" si="58"/>
        <v>24.009600000000006</v>
      </c>
      <c r="AB724">
        <f t="shared" si="59"/>
        <v>317.88710400000008</v>
      </c>
    </row>
    <row r="725" spans="1:28" ht="25.5" x14ac:dyDescent="0.25">
      <c r="A725" s="7">
        <v>724</v>
      </c>
      <c r="B725" s="7" t="s">
        <v>15</v>
      </c>
      <c r="C725" s="7" t="s">
        <v>49</v>
      </c>
      <c r="D725" s="7" t="s">
        <v>821</v>
      </c>
      <c r="E725" s="7"/>
      <c r="F725" s="8"/>
      <c r="G725" s="7" t="s">
        <v>821</v>
      </c>
      <c r="H725" s="9">
        <v>37.154435999999997</v>
      </c>
      <c r="I725" s="9">
        <v>9.7748369999999998</v>
      </c>
      <c r="J725" s="7" t="s">
        <v>51</v>
      </c>
      <c r="K725" s="7" t="s">
        <v>37</v>
      </c>
      <c r="L725" s="7"/>
      <c r="M725" s="10">
        <v>14.31</v>
      </c>
      <c r="N725" s="7" t="s">
        <v>52</v>
      </c>
      <c r="O725" s="7"/>
      <c r="P725" s="8" t="s">
        <v>39</v>
      </c>
      <c r="Q725">
        <v>6.7</v>
      </c>
      <c r="R725">
        <v>39.200000000000003</v>
      </c>
      <c r="S725" t="s">
        <v>40</v>
      </c>
      <c r="T725">
        <v>12</v>
      </c>
      <c r="U725">
        <f t="shared" si="55"/>
        <v>80.400000000000006</v>
      </c>
      <c r="V725">
        <v>0.66</v>
      </c>
      <c r="W725">
        <v>0</v>
      </c>
      <c r="X725">
        <v>0</v>
      </c>
      <c r="Y725">
        <f t="shared" si="56"/>
        <v>0</v>
      </c>
      <c r="Z725">
        <f t="shared" si="57"/>
        <v>53.064000000000007</v>
      </c>
      <c r="AA725">
        <f t="shared" si="58"/>
        <v>53.064000000000007</v>
      </c>
      <c r="AB725">
        <f t="shared" si="59"/>
        <v>759.34584000000018</v>
      </c>
    </row>
    <row r="726" spans="1:28" ht="25.5" x14ac:dyDescent="0.25">
      <c r="A726" s="7">
        <v>725</v>
      </c>
      <c r="B726" s="7" t="s">
        <v>15</v>
      </c>
      <c r="C726" s="7" t="s">
        <v>54</v>
      </c>
      <c r="D726" s="7" t="s">
        <v>822</v>
      </c>
      <c r="E726" s="7"/>
      <c r="F726" s="8"/>
      <c r="G726" s="7" t="s">
        <v>822</v>
      </c>
      <c r="H726" s="9">
        <v>33.628466000000003</v>
      </c>
      <c r="I726" s="9">
        <v>10.272869999999999</v>
      </c>
      <c r="J726" s="7" t="s">
        <v>56</v>
      </c>
      <c r="K726" s="7" t="s">
        <v>37</v>
      </c>
      <c r="L726" s="7"/>
      <c r="M726" s="10">
        <v>8.51</v>
      </c>
      <c r="N726" s="7" t="s">
        <v>57</v>
      </c>
      <c r="O726" s="7"/>
      <c r="P726" s="8" t="s">
        <v>39</v>
      </c>
      <c r="Q726">
        <v>5.25</v>
      </c>
      <c r="R726">
        <v>39.799999999999997</v>
      </c>
      <c r="S726" t="s">
        <v>40</v>
      </c>
      <c r="T726">
        <v>8</v>
      </c>
      <c r="U726">
        <f t="shared" si="55"/>
        <v>42</v>
      </c>
      <c r="V726">
        <v>0.72</v>
      </c>
      <c r="W726">
        <v>120</v>
      </c>
      <c r="X726">
        <v>0.35</v>
      </c>
      <c r="Y726">
        <f t="shared" si="56"/>
        <v>42</v>
      </c>
      <c r="Z726">
        <f t="shared" si="57"/>
        <v>30.24</v>
      </c>
      <c r="AA726">
        <f t="shared" si="58"/>
        <v>0</v>
      </c>
      <c r="AB726">
        <f t="shared" si="59"/>
        <v>0</v>
      </c>
    </row>
    <row r="727" spans="1:28" ht="25.5" x14ac:dyDescent="0.25">
      <c r="A727" s="7">
        <v>726</v>
      </c>
      <c r="B727" s="7" t="s">
        <v>15</v>
      </c>
      <c r="C727" s="7" t="s">
        <v>59</v>
      </c>
      <c r="D727" s="7" t="s">
        <v>823</v>
      </c>
      <c r="E727" s="7"/>
      <c r="F727" s="8"/>
      <c r="G727" s="7" t="s">
        <v>823</v>
      </c>
      <c r="H727" s="9">
        <v>34.351498999999997</v>
      </c>
      <c r="I727" s="9">
        <v>8.4051600000000004</v>
      </c>
      <c r="J727" s="7" t="s">
        <v>61</v>
      </c>
      <c r="K727" s="7" t="s">
        <v>37</v>
      </c>
      <c r="L727" s="7"/>
      <c r="M727" s="10">
        <v>5.99</v>
      </c>
      <c r="N727" s="7" t="s">
        <v>62</v>
      </c>
      <c r="O727" s="7"/>
      <c r="P727" s="8" t="s">
        <v>39</v>
      </c>
      <c r="Q727">
        <v>5.3</v>
      </c>
      <c r="R727">
        <v>40.1</v>
      </c>
      <c r="S727" t="s">
        <v>40</v>
      </c>
      <c r="T727">
        <v>7</v>
      </c>
      <c r="U727">
        <f t="shared" si="55"/>
        <v>37.1</v>
      </c>
      <c r="V727">
        <v>0.66</v>
      </c>
      <c r="W727">
        <v>80</v>
      </c>
      <c r="X727">
        <v>0.35</v>
      </c>
      <c r="Y727">
        <f t="shared" si="56"/>
        <v>28</v>
      </c>
      <c r="Z727">
        <f t="shared" si="57"/>
        <v>24.486000000000001</v>
      </c>
      <c r="AA727">
        <f t="shared" si="58"/>
        <v>0</v>
      </c>
      <c r="AB727">
        <f t="shared" si="59"/>
        <v>0</v>
      </c>
    </row>
    <row r="728" spans="1:28" ht="25.5" x14ac:dyDescent="0.25">
      <c r="A728" s="7">
        <v>727</v>
      </c>
      <c r="B728" s="7" t="s">
        <v>15</v>
      </c>
      <c r="C728" s="7" t="s">
        <v>63</v>
      </c>
      <c r="D728" s="7" t="s">
        <v>824</v>
      </c>
      <c r="E728" s="7"/>
      <c r="F728" s="8"/>
      <c r="G728" s="7" t="s">
        <v>824</v>
      </c>
      <c r="H728" s="9">
        <v>36.933165000000002</v>
      </c>
      <c r="I728" s="9">
        <v>8.7538239999999998</v>
      </c>
      <c r="J728" s="7" t="s">
        <v>65</v>
      </c>
      <c r="K728" s="7" t="s">
        <v>37</v>
      </c>
      <c r="L728" s="7"/>
      <c r="M728" s="10">
        <v>2.19</v>
      </c>
      <c r="N728" s="7" t="s">
        <v>66</v>
      </c>
      <c r="O728" s="7"/>
      <c r="P728" s="8" t="s">
        <v>39</v>
      </c>
      <c r="Q728">
        <v>5.88</v>
      </c>
      <c r="R728">
        <v>36.9</v>
      </c>
      <c r="S728" t="s">
        <v>40</v>
      </c>
      <c r="T728">
        <v>10</v>
      </c>
      <c r="U728">
        <f t="shared" si="55"/>
        <v>58.8</v>
      </c>
      <c r="V728">
        <v>0.48</v>
      </c>
      <c r="W728">
        <v>0</v>
      </c>
      <c r="X728">
        <v>0</v>
      </c>
      <c r="Y728">
        <f t="shared" si="56"/>
        <v>0</v>
      </c>
      <c r="Z728">
        <f t="shared" si="57"/>
        <v>28.223999999999997</v>
      </c>
      <c r="AA728">
        <f t="shared" si="58"/>
        <v>28.223999999999997</v>
      </c>
      <c r="AB728">
        <f t="shared" si="59"/>
        <v>61.810559999999988</v>
      </c>
    </row>
    <row r="729" spans="1:28" ht="25.5" x14ac:dyDescent="0.25">
      <c r="A729" s="7">
        <v>728</v>
      </c>
      <c r="B729" s="7" t="s">
        <v>15</v>
      </c>
      <c r="C729" s="7" t="s">
        <v>67</v>
      </c>
      <c r="D729" s="7" t="s">
        <v>825</v>
      </c>
      <c r="E729" s="7"/>
      <c r="F729" s="8"/>
      <c r="G729" s="7" t="s">
        <v>825</v>
      </c>
      <c r="H729" s="9">
        <v>35.636586999999999</v>
      </c>
      <c r="I729" s="9">
        <v>9.9219349999999995</v>
      </c>
      <c r="J729" s="7" t="s">
        <v>69</v>
      </c>
      <c r="K729" s="7" t="s">
        <v>37</v>
      </c>
      <c r="L729" s="7"/>
      <c r="M729" s="10">
        <v>10.73</v>
      </c>
      <c r="N729" s="7" t="s">
        <v>70</v>
      </c>
      <c r="O729" s="7"/>
      <c r="P729" s="8" t="s">
        <v>39</v>
      </c>
      <c r="Q729">
        <v>1.9</v>
      </c>
      <c r="R729">
        <v>18.8</v>
      </c>
      <c r="S729" t="s">
        <v>53</v>
      </c>
      <c r="T729">
        <v>9</v>
      </c>
      <c r="U729">
        <f t="shared" si="55"/>
        <v>17.099999999999998</v>
      </c>
      <c r="V729">
        <v>1.03</v>
      </c>
      <c r="W729">
        <v>0</v>
      </c>
      <c r="X729">
        <v>0</v>
      </c>
      <c r="Y729">
        <f t="shared" si="56"/>
        <v>0</v>
      </c>
      <c r="Z729">
        <f t="shared" si="57"/>
        <v>17.613</v>
      </c>
      <c r="AA729">
        <f t="shared" si="58"/>
        <v>17.613</v>
      </c>
      <c r="AB729">
        <f t="shared" si="59"/>
        <v>188.98749000000001</v>
      </c>
    </row>
    <row r="730" spans="1:28" ht="25.5" x14ac:dyDescent="0.25">
      <c r="A730" s="7">
        <v>729</v>
      </c>
      <c r="B730" s="7" t="s">
        <v>15</v>
      </c>
      <c r="C730" s="7" t="s">
        <v>71</v>
      </c>
      <c r="D730" s="7" t="s">
        <v>826</v>
      </c>
      <c r="E730" s="7"/>
      <c r="F730" s="8"/>
      <c r="G730" s="7" t="s">
        <v>826</v>
      </c>
      <c r="H730" s="9">
        <v>35.215867000000003</v>
      </c>
      <c r="I730" s="9">
        <v>9.1291250000000002</v>
      </c>
      <c r="J730" s="7" t="s">
        <v>73</v>
      </c>
      <c r="K730" s="7" t="s">
        <v>37</v>
      </c>
      <c r="L730" s="7"/>
      <c r="M730" s="10">
        <v>7.71</v>
      </c>
      <c r="N730" s="7" t="s">
        <v>74</v>
      </c>
      <c r="O730" s="7"/>
      <c r="P730" s="8" t="s">
        <v>39</v>
      </c>
      <c r="Q730">
        <v>3.47</v>
      </c>
      <c r="R730">
        <v>23.2</v>
      </c>
      <c r="S730" t="s">
        <v>53</v>
      </c>
      <c r="T730">
        <v>10</v>
      </c>
      <c r="U730">
        <f t="shared" si="55"/>
        <v>34.700000000000003</v>
      </c>
      <c r="V730">
        <v>1.03</v>
      </c>
      <c r="W730">
        <v>50</v>
      </c>
      <c r="X730">
        <v>0.35</v>
      </c>
      <c r="Y730">
        <f t="shared" si="56"/>
        <v>17.5</v>
      </c>
      <c r="Z730">
        <f t="shared" si="57"/>
        <v>35.741000000000007</v>
      </c>
      <c r="AA730">
        <f t="shared" si="58"/>
        <v>18.241000000000007</v>
      </c>
      <c r="AB730">
        <f t="shared" si="59"/>
        <v>140.63811000000004</v>
      </c>
    </row>
    <row r="731" spans="1:28" ht="25.5" x14ac:dyDescent="0.25">
      <c r="A731" s="7">
        <v>730</v>
      </c>
      <c r="B731" s="7" t="s">
        <v>15</v>
      </c>
      <c r="C731" s="7" t="s">
        <v>75</v>
      </c>
      <c r="D731" s="7" t="s">
        <v>827</v>
      </c>
      <c r="E731" s="7"/>
      <c r="F731" s="8"/>
      <c r="G731" s="7" t="s">
        <v>827</v>
      </c>
      <c r="H731" s="9">
        <v>33.480649999999997</v>
      </c>
      <c r="I731" s="9">
        <v>9.0205680000000008</v>
      </c>
      <c r="J731" s="7" t="s">
        <v>77</v>
      </c>
      <c r="K731" s="7" t="s">
        <v>37</v>
      </c>
      <c r="L731" s="7"/>
      <c r="M731" s="10">
        <v>17.95</v>
      </c>
      <c r="N731" s="7" t="s">
        <v>78</v>
      </c>
      <c r="O731" s="7"/>
      <c r="P731" s="8" t="s">
        <v>39</v>
      </c>
      <c r="Q731">
        <v>2.76</v>
      </c>
      <c r="R731">
        <v>31.2</v>
      </c>
      <c r="S731" t="s">
        <v>58</v>
      </c>
      <c r="T731">
        <v>14</v>
      </c>
      <c r="U731">
        <f t="shared" si="55"/>
        <v>38.64</v>
      </c>
      <c r="V731">
        <v>0.9</v>
      </c>
      <c r="W731">
        <v>0</v>
      </c>
      <c r="X731">
        <v>0</v>
      </c>
      <c r="Y731">
        <f t="shared" si="56"/>
        <v>0</v>
      </c>
      <c r="Z731">
        <f t="shared" si="57"/>
        <v>34.776000000000003</v>
      </c>
      <c r="AA731">
        <f t="shared" si="58"/>
        <v>34.776000000000003</v>
      </c>
      <c r="AB731">
        <f t="shared" si="59"/>
        <v>624.22919999999999</v>
      </c>
    </row>
    <row r="732" spans="1:28" ht="25.5" x14ac:dyDescent="0.25">
      <c r="A732" s="7">
        <v>731</v>
      </c>
      <c r="B732" s="7" t="s">
        <v>15</v>
      </c>
      <c r="C732" s="7" t="s">
        <v>79</v>
      </c>
      <c r="D732" s="7" t="s">
        <v>828</v>
      </c>
      <c r="E732" s="7"/>
      <c r="F732" s="8"/>
      <c r="G732" s="7" t="s">
        <v>828</v>
      </c>
      <c r="H732" s="9">
        <v>35.911602000000002</v>
      </c>
      <c r="I732" s="9">
        <v>8.8337509999999995</v>
      </c>
      <c r="J732" s="7" t="s">
        <v>81</v>
      </c>
      <c r="K732" s="7" t="s">
        <v>37</v>
      </c>
      <c r="L732" s="7"/>
      <c r="M732" s="10">
        <v>24.37</v>
      </c>
      <c r="N732" s="7" t="s">
        <v>38</v>
      </c>
      <c r="O732" s="7"/>
      <c r="P732" s="8" t="s">
        <v>39</v>
      </c>
      <c r="Q732">
        <v>2.48</v>
      </c>
      <c r="R732">
        <v>37.200000000000003</v>
      </c>
      <c r="S732" t="s">
        <v>40</v>
      </c>
      <c r="T732">
        <v>18</v>
      </c>
      <c r="U732">
        <f t="shared" si="55"/>
        <v>44.64</v>
      </c>
      <c r="V732">
        <v>0.6</v>
      </c>
      <c r="W732">
        <v>0</v>
      </c>
      <c r="X732">
        <v>0</v>
      </c>
      <c r="Y732">
        <f t="shared" si="56"/>
        <v>0</v>
      </c>
      <c r="Z732">
        <f t="shared" si="57"/>
        <v>26.783999999999999</v>
      </c>
      <c r="AA732">
        <f t="shared" si="58"/>
        <v>26.783999999999999</v>
      </c>
      <c r="AB732">
        <f t="shared" si="59"/>
        <v>652.72608000000002</v>
      </c>
    </row>
    <row r="733" spans="1:28" ht="25.5" x14ac:dyDescent="0.25">
      <c r="A733" s="7">
        <v>732</v>
      </c>
      <c r="B733" s="7" t="s">
        <v>15</v>
      </c>
      <c r="C733" s="7" t="s">
        <v>82</v>
      </c>
      <c r="D733" s="7" t="s">
        <v>829</v>
      </c>
      <c r="E733" s="7"/>
      <c r="F733" s="8"/>
      <c r="G733" s="7" t="s">
        <v>829</v>
      </c>
      <c r="H733" s="9">
        <v>35.248866999999997</v>
      </c>
      <c r="I733" s="9">
        <v>11.129273</v>
      </c>
      <c r="J733" s="7" t="s">
        <v>84</v>
      </c>
      <c r="K733" s="7" t="s">
        <v>37</v>
      </c>
      <c r="L733" s="7"/>
      <c r="M733" s="10">
        <v>24.39</v>
      </c>
      <c r="N733" s="7" t="s">
        <v>44</v>
      </c>
      <c r="O733" s="7"/>
      <c r="P733" s="8" t="s">
        <v>39</v>
      </c>
      <c r="Q733">
        <v>4.82</v>
      </c>
      <c r="R733">
        <v>21.2</v>
      </c>
      <c r="S733" t="s">
        <v>53</v>
      </c>
      <c r="T733">
        <v>18</v>
      </c>
      <c r="U733">
        <f t="shared" si="55"/>
        <v>86.76</v>
      </c>
      <c r="V733">
        <v>1.1499999999999999</v>
      </c>
      <c r="W733">
        <v>160</v>
      </c>
      <c r="X733">
        <v>0.35</v>
      </c>
      <c r="Y733">
        <f t="shared" si="56"/>
        <v>56</v>
      </c>
      <c r="Z733">
        <f t="shared" si="57"/>
        <v>99.774000000000001</v>
      </c>
      <c r="AA733">
        <f t="shared" si="58"/>
        <v>43.774000000000001</v>
      </c>
      <c r="AB733">
        <f t="shared" si="59"/>
        <v>1067.64786</v>
      </c>
    </row>
    <row r="734" spans="1:28" ht="25.5" x14ac:dyDescent="0.25">
      <c r="A734" s="7">
        <v>733</v>
      </c>
      <c r="B734" s="7" t="s">
        <v>15</v>
      </c>
      <c r="C734" s="7" t="s">
        <v>85</v>
      </c>
      <c r="D734" s="7" t="s">
        <v>830</v>
      </c>
      <c r="E734" s="7"/>
      <c r="F734" s="8"/>
      <c r="G734" s="7" t="s">
        <v>830</v>
      </c>
      <c r="H734" s="9">
        <v>36.856372</v>
      </c>
      <c r="I734" s="9">
        <v>9.8418740000000007</v>
      </c>
      <c r="J734" s="7" t="s">
        <v>87</v>
      </c>
      <c r="K734" s="7" t="s">
        <v>37</v>
      </c>
      <c r="L734" s="7"/>
      <c r="M734" s="10">
        <v>20.5</v>
      </c>
      <c r="N734" s="7" t="s">
        <v>48</v>
      </c>
      <c r="O734" s="7"/>
      <c r="P734" s="8" t="s">
        <v>39</v>
      </c>
      <c r="Q734">
        <v>4.17</v>
      </c>
      <c r="R734">
        <v>37.200000000000003</v>
      </c>
      <c r="S734" t="s">
        <v>40</v>
      </c>
      <c r="T734">
        <v>16</v>
      </c>
      <c r="U734">
        <f t="shared" si="55"/>
        <v>66.72</v>
      </c>
      <c r="V734">
        <v>0.54</v>
      </c>
      <c r="W734">
        <v>0</v>
      </c>
      <c r="X734">
        <v>0</v>
      </c>
      <c r="Y734">
        <f t="shared" si="56"/>
        <v>0</v>
      </c>
      <c r="Z734">
        <f t="shared" si="57"/>
        <v>36.028800000000004</v>
      </c>
      <c r="AA734">
        <f t="shared" si="58"/>
        <v>36.028800000000004</v>
      </c>
      <c r="AB734">
        <f t="shared" si="59"/>
        <v>738.59040000000005</v>
      </c>
    </row>
    <row r="735" spans="1:28" ht="25.5" x14ac:dyDescent="0.25">
      <c r="A735" s="7">
        <v>734</v>
      </c>
      <c r="B735" s="7" t="s">
        <v>15</v>
      </c>
      <c r="C735" s="7" t="s">
        <v>88</v>
      </c>
      <c r="D735" s="7" t="s">
        <v>831</v>
      </c>
      <c r="E735" s="7"/>
      <c r="F735" s="8"/>
      <c r="G735" s="7" t="s">
        <v>831</v>
      </c>
      <c r="H735" s="9">
        <v>33.805070000000001</v>
      </c>
      <c r="I735" s="9">
        <v>11.000617999999999</v>
      </c>
      <c r="J735" s="7" t="s">
        <v>90</v>
      </c>
      <c r="K735" s="7" t="s">
        <v>37</v>
      </c>
      <c r="L735" s="7"/>
      <c r="M735" s="10">
        <v>9.17</v>
      </c>
      <c r="N735" s="7" t="s">
        <v>52</v>
      </c>
      <c r="O735" s="7"/>
      <c r="P735" s="8" t="s">
        <v>39</v>
      </c>
      <c r="Q735">
        <v>7.2</v>
      </c>
      <c r="R735">
        <v>16.8</v>
      </c>
      <c r="S735" t="s">
        <v>53</v>
      </c>
      <c r="T735">
        <v>12</v>
      </c>
      <c r="U735">
        <f t="shared" si="55"/>
        <v>86.4</v>
      </c>
      <c r="V735">
        <v>1.26</v>
      </c>
      <c r="W735">
        <v>120</v>
      </c>
      <c r="X735">
        <v>0.35</v>
      </c>
      <c r="Y735">
        <f t="shared" si="56"/>
        <v>42</v>
      </c>
      <c r="Z735">
        <f t="shared" si="57"/>
        <v>108.864</v>
      </c>
      <c r="AA735">
        <f t="shared" si="58"/>
        <v>66.864000000000004</v>
      </c>
      <c r="AB735">
        <f t="shared" si="59"/>
        <v>613.14287999999999</v>
      </c>
    </row>
    <row r="736" spans="1:28" ht="25.5" x14ac:dyDescent="0.25">
      <c r="A736" s="7">
        <v>735</v>
      </c>
      <c r="B736" s="7" t="s">
        <v>15</v>
      </c>
      <c r="C736" s="7" t="s">
        <v>92</v>
      </c>
      <c r="D736" s="7" t="s">
        <v>832</v>
      </c>
      <c r="E736" s="7"/>
      <c r="F736" s="8"/>
      <c r="G736" s="7" t="s">
        <v>832</v>
      </c>
      <c r="H736" s="9">
        <v>35.597245999999998</v>
      </c>
      <c r="I736" s="9">
        <v>10.740799000000001</v>
      </c>
      <c r="J736" s="7" t="s">
        <v>94</v>
      </c>
      <c r="K736" s="7" t="s">
        <v>37</v>
      </c>
      <c r="L736" s="7"/>
      <c r="M736" s="10">
        <v>14.62</v>
      </c>
      <c r="N736" s="7" t="s">
        <v>57</v>
      </c>
      <c r="O736" s="7"/>
      <c r="P736" s="8" t="s">
        <v>39</v>
      </c>
      <c r="Q736">
        <v>1.91</v>
      </c>
      <c r="R736">
        <v>21.2</v>
      </c>
      <c r="S736" t="s">
        <v>53</v>
      </c>
      <c r="T736">
        <v>8</v>
      </c>
      <c r="U736">
        <f t="shared" si="55"/>
        <v>15.28</v>
      </c>
      <c r="V736">
        <v>1.38</v>
      </c>
      <c r="W736">
        <v>0</v>
      </c>
      <c r="X736">
        <v>0</v>
      </c>
      <c r="Y736">
        <f t="shared" si="56"/>
        <v>0</v>
      </c>
      <c r="Z736">
        <f t="shared" si="57"/>
        <v>21.086399999999998</v>
      </c>
      <c r="AA736">
        <f t="shared" si="58"/>
        <v>21.086399999999998</v>
      </c>
      <c r="AB736">
        <f t="shared" si="59"/>
        <v>308.28316799999993</v>
      </c>
    </row>
    <row r="737" spans="1:28" ht="25.5" x14ac:dyDescent="0.25">
      <c r="A737" s="7">
        <v>736</v>
      </c>
      <c r="B737" s="7" t="s">
        <v>15</v>
      </c>
      <c r="C737" s="7" t="s">
        <v>95</v>
      </c>
      <c r="D737" s="7" t="s">
        <v>833</v>
      </c>
      <c r="E737" s="7"/>
      <c r="F737" s="8"/>
      <c r="G737" s="7" t="s">
        <v>833</v>
      </c>
      <c r="H737" s="9">
        <v>36.551161</v>
      </c>
      <c r="I737" s="9">
        <v>10.850405</v>
      </c>
      <c r="J737" s="7" t="s">
        <v>97</v>
      </c>
      <c r="K737" s="7" t="s">
        <v>37</v>
      </c>
      <c r="L737" s="7"/>
      <c r="M737" s="10">
        <v>15.52</v>
      </c>
      <c r="N737" s="7" t="s">
        <v>62</v>
      </c>
      <c r="O737" s="7"/>
      <c r="P737" s="8" t="s">
        <v>39</v>
      </c>
      <c r="Q737">
        <v>6.4</v>
      </c>
      <c r="R737">
        <v>27.7</v>
      </c>
      <c r="S737" t="s">
        <v>58</v>
      </c>
      <c r="T737">
        <v>7</v>
      </c>
      <c r="U737">
        <f t="shared" si="55"/>
        <v>44.800000000000004</v>
      </c>
      <c r="V737">
        <v>0.99</v>
      </c>
      <c r="W737">
        <v>0</v>
      </c>
      <c r="X737">
        <v>0</v>
      </c>
      <c r="Y737">
        <f t="shared" si="56"/>
        <v>0</v>
      </c>
      <c r="Z737">
        <f t="shared" si="57"/>
        <v>44.352000000000004</v>
      </c>
      <c r="AA737">
        <f t="shared" si="58"/>
        <v>44.352000000000004</v>
      </c>
      <c r="AB737">
        <f t="shared" si="59"/>
        <v>688.34304000000009</v>
      </c>
    </row>
    <row r="738" spans="1:28" ht="25.5" x14ac:dyDescent="0.25">
      <c r="A738" s="7">
        <v>737</v>
      </c>
      <c r="B738" s="7" t="s">
        <v>15</v>
      </c>
      <c r="C738" s="7" t="s">
        <v>98</v>
      </c>
      <c r="D738" s="7" t="s">
        <v>834</v>
      </c>
      <c r="E738" s="7"/>
      <c r="F738" s="8"/>
      <c r="G738" s="7" t="s">
        <v>834</v>
      </c>
      <c r="H738" s="9">
        <v>34.727659000000003</v>
      </c>
      <c r="I738" s="9">
        <v>10.524383</v>
      </c>
      <c r="J738" s="7" t="s">
        <v>100</v>
      </c>
      <c r="K738" s="7" t="s">
        <v>37</v>
      </c>
      <c r="L738" s="7"/>
      <c r="M738" s="10">
        <v>24.39</v>
      </c>
      <c r="N738" s="7" t="s">
        <v>66</v>
      </c>
      <c r="O738" s="7"/>
      <c r="P738" s="8" t="s">
        <v>39</v>
      </c>
      <c r="Q738">
        <v>6.76</v>
      </c>
      <c r="R738">
        <v>32</v>
      </c>
      <c r="S738" t="s">
        <v>58</v>
      </c>
      <c r="T738">
        <v>10</v>
      </c>
      <c r="U738">
        <f t="shared" si="55"/>
        <v>67.599999999999994</v>
      </c>
      <c r="V738">
        <v>0.72</v>
      </c>
      <c r="W738">
        <v>0</v>
      </c>
      <c r="X738">
        <v>0</v>
      </c>
      <c r="Y738">
        <f t="shared" si="56"/>
        <v>0</v>
      </c>
      <c r="Z738">
        <f t="shared" si="57"/>
        <v>48.671999999999997</v>
      </c>
      <c r="AA738">
        <f t="shared" si="58"/>
        <v>48.671999999999997</v>
      </c>
      <c r="AB738">
        <f t="shared" si="59"/>
        <v>1187.1100799999999</v>
      </c>
    </row>
    <row r="739" spans="1:28" ht="25.5" x14ac:dyDescent="0.25">
      <c r="A739" s="7">
        <v>738</v>
      </c>
      <c r="B739" s="7" t="s">
        <v>15</v>
      </c>
      <c r="C739" s="7" t="s">
        <v>101</v>
      </c>
      <c r="D739" s="7" t="s">
        <v>835</v>
      </c>
      <c r="E739" s="7"/>
      <c r="F739" s="8"/>
      <c r="G739" s="7" t="s">
        <v>835</v>
      </c>
      <c r="H739" s="9">
        <v>34.919997000000002</v>
      </c>
      <c r="I739" s="9">
        <v>9.8028519999999997</v>
      </c>
      <c r="J739" s="7" t="s">
        <v>103</v>
      </c>
      <c r="K739" s="7" t="s">
        <v>37</v>
      </c>
      <c r="L739" s="7"/>
      <c r="M739" s="10">
        <v>21.77</v>
      </c>
      <c r="N739" s="7" t="s">
        <v>70</v>
      </c>
      <c r="O739" s="7"/>
      <c r="P739" s="8" t="s">
        <v>39</v>
      </c>
      <c r="Q739">
        <v>7.25</v>
      </c>
      <c r="R739">
        <v>17.5</v>
      </c>
      <c r="S739" t="s">
        <v>53</v>
      </c>
      <c r="T739">
        <v>9</v>
      </c>
      <c r="U739">
        <f t="shared" si="55"/>
        <v>65.25</v>
      </c>
      <c r="V739">
        <v>1.03</v>
      </c>
      <c r="W739">
        <v>0</v>
      </c>
      <c r="X739">
        <v>0</v>
      </c>
      <c r="Y739">
        <f t="shared" si="56"/>
        <v>0</v>
      </c>
      <c r="Z739">
        <f t="shared" si="57"/>
        <v>67.207499999999996</v>
      </c>
      <c r="AA739">
        <f t="shared" si="58"/>
        <v>67.207499999999996</v>
      </c>
      <c r="AB739">
        <f t="shared" si="59"/>
        <v>1463.1072749999998</v>
      </c>
    </row>
    <row r="740" spans="1:28" ht="25.5" x14ac:dyDescent="0.25">
      <c r="A740" s="7">
        <v>739</v>
      </c>
      <c r="B740" s="7" t="s">
        <v>15</v>
      </c>
      <c r="C740" s="7" t="s">
        <v>104</v>
      </c>
      <c r="D740" s="7" t="s">
        <v>836</v>
      </c>
      <c r="E740" s="7"/>
      <c r="F740" s="8"/>
      <c r="G740" s="7" t="s">
        <v>836</v>
      </c>
      <c r="H740" s="9">
        <v>35.863940999999997</v>
      </c>
      <c r="I740" s="9">
        <v>9.1786110000000001</v>
      </c>
      <c r="J740" s="7" t="s">
        <v>106</v>
      </c>
      <c r="K740" s="7" t="s">
        <v>37</v>
      </c>
      <c r="L740" s="7"/>
      <c r="M740" s="10">
        <v>15.07</v>
      </c>
      <c r="N740" s="7" t="s">
        <v>74</v>
      </c>
      <c r="O740" s="7"/>
      <c r="P740" s="8" t="s">
        <v>39</v>
      </c>
      <c r="Q740">
        <v>4.6900000000000004</v>
      </c>
      <c r="R740">
        <v>34.799999999999997</v>
      </c>
      <c r="S740" t="s">
        <v>58</v>
      </c>
      <c r="T740">
        <v>10</v>
      </c>
      <c r="U740">
        <f t="shared" si="55"/>
        <v>46.900000000000006</v>
      </c>
      <c r="V740">
        <v>0.81</v>
      </c>
      <c r="W740">
        <v>0</v>
      </c>
      <c r="X740">
        <v>0</v>
      </c>
      <c r="Y740">
        <f t="shared" si="56"/>
        <v>0</v>
      </c>
      <c r="Z740">
        <f t="shared" si="57"/>
        <v>37.989000000000004</v>
      </c>
      <c r="AA740">
        <f t="shared" si="58"/>
        <v>37.989000000000004</v>
      </c>
      <c r="AB740">
        <f t="shared" si="59"/>
        <v>572.49423000000013</v>
      </c>
    </row>
    <row r="741" spans="1:28" ht="25.5" x14ac:dyDescent="0.25">
      <c r="A741" s="7">
        <v>740</v>
      </c>
      <c r="B741" s="7" t="s">
        <v>15</v>
      </c>
      <c r="C741" s="7" t="s">
        <v>107</v>
      </c>
      <c r="D741" s="7" t="s">
        <v>837</v>
      </c>
      <c r="E741" s="7"/>
      <c r="F741" s="8"/>
      <c r="G741" s="7" t="s">
        <v>837</v>
      </c>
      <c r="H741" s="9">
        <v>36.123485000000002</v>
      </c>
      <c r="I741" s="9">
        <v>10.377573</v>
      </c>
      <c r="J741" s="7" t="s">
        <v>109</v>
      </c>
      <c r="K741" s="7" t="s">
        <v>37</v>
      </c>
      <c r="L741" s="7"/>
      <c r="M741" s="10">
        <v>20.96</v>
      </c>
      <c r="N741" s="7" t="s">
        <v>78</v>
      </c>
      <c r="O741" s="7"/>
      <c r="P741" s="8" t="s">
        <v>39</v>
      </c>
      <c r="Q741">
        <v>4.01</v>
      </c>
      <c r="R741">
        <v>11.6</v>
      </c>
      <c r="S741" t="s">
        <v>91</v>
      </c>
      <c r="T741">
        <v>14</v>
      </c>
      <c r="U741">
        <f t="shared" si="55"/>
        <v>56.14</v>
      </c>
      <c r="V741">
        <v>1.35</v>
      </c>
      <c r="W741">
        <v>0</v>
      </c>
      <c r="X741">
        <v>0</v>
      </c>
      <c r="Y741">
        <f t="shared" si="56"/>
        <v>0</v>
      </c>
      <c r="Z741">
        <f t="shared" si="57"/>
        <v>75.789000000000001</v>
      </c>
      <c r="AA741">
        <f t="shared" si="58"/>
        <v>75.789000000000001</v>
      </c>
      <c r="AB741">
        <f t="shared" si="59"/>
        <v>1588.5374400000001</v>
      </c>
    </row>
    <row r="742" spans="1:28" ht="25.5" x14ac:dyDescent="0.25">
      <c r="A742" s="7">
        <v>741</v>
      </c>
      <c r="B742" s="7" t="s">
        <v>15</v>
      </c>
      <c r="C742" s="7" t="s">
        <v>110</v>
      </c>
      <c r="D742" s="7" t="s">
        <v>838</v>
      </c>
      <c r="E742" s="7"/>
      <c r="F742" s="8"/>
      <c r="G742" s="7" t="s">
        <v>838</v>
      </c>
      <c r="H742" s="9">
        <v>33.151788000000003</v>
      </c>
      <c r="I742" s="9">
        <v>10.217632999999999</v>
      </c>
      <c r="J742" s="7" t="s">
        <v>112</v>
      </c>
      <c r="K742" s="7" t="s">
        <v>37</v>
      </c>
      <c r="L742" s="7"/>
      <c r="M742" s="10">
        <v>6.17</v>
      </c>
      <c r="N742" s="7" t="s">
        <v>38</v>
      </c>
      <c r="O742" s="7"/>
      <c r="P742" s="8" t="s">
        <v>39</v>
      </c>
      <c r="Q742">
        <v>3.93</v>
      </c>
      <c r="R742">
        <v>29.8</v>
      </c>
      <c r="S742" t="s">
        <v>58</v>
      </c>
      <c r="T742">
        <v>18</v>
      </c>
      <c r="U742">
        <f t="shared" si="55"/>
        <v>70.740000000000009</v>
      </c>
      <c r="V742">
        <v>0.9</v>
      </c>
      <c r="W742">
        <v>0</v>
      </c>
      <c r="X742">
        <v>0</v>
      </c>
      <c r="Y742">
        <f t="shared" si="56"/>
        <v>0</v>
      </c>
      <c r="Z742">
        <f t="shared" si="57"/>
        <v>63.666000000000011</v>
      </c>
      <c r="AA742">
        <f t="shared" si="58"/>
        <v>63.666000000000011</v>
      </c>
      <c r="AB742">
        <f t="shared" si="59"/>
        <v>392.81922000000009</v>
      </c>
    </row>
    <row r="743" spans="1:28" ht="25.5" x14ac:dyDescent="0.25">
      <c r="A743" s="7">
        <v>742</v>
      </c>
      <c r="B743" s="7" t="s">
        <v>15</v>
      </c>
      <c r="C743" s="7" t="s">
        <v>113</v>
      </c>
      <c r="D743" s="7" t="s">
        <v>839</v>
      </c>
      <c r="E743" s="7"/>
      <c r="F743" s="8"/>
      <c r="G743" s="7" t="s">
        <v>839</v>
      </c>
      <c r="H743" s="9">
        <v>33.857298</v>
      </c>
      <c r="I743" s="9">
        <v>7.8540109999999999</v>
      </c>
      <c r="J743" s="7" t="s">
        <v>115</v>
      </c>
      <c r="K743" s="7" t="s">
        <v>37</v>
      </c>
      <c r="L743" s="7"/>
      <c r="M743" s="10">
        <v>4.07</v>
      </c>
      <c r="N743" s="7" t="s">
        <v>44</v>
      </c>
      <c r="O743" s="7"/>
      <c r="P743" s="8" t="s">
        <v>39</v>
      </c>
      <c r="Q743">
        <v>6.61</v>
      </c>
      <c r="R743">
        <v>43.9</v>
      </c>
      <c r="S743" t="s">
        <v>40</v>
      </c>
      <c r="T743">
        <v>18</v>
      </c>
      <c r="U743">
        <f t="shared" si="55"/>
        <v>118.98</v>
      </c>
      <c r="V743">
        <v>0.6</v>
      </c>
      <c r="W743">
        <v>160</v>
      </c>
      <c r="X743">
        <v>0.35</v>
      </c>
      <c r="Y743">
        <f t="shared" si="56"/>
        <v>56</v>
      </c>
      <c r="Z743">
        <f t="shared" si="57"/>
        <v>71.388000000000005</v>
      </c>
      <c r="AA743">
        <f t="shared" si="58"/>
        <v>15.388000000000005</v>
      </c>
      <c r="AB743">
        <f t="shared" si="59"/>
        <v>62.629160000000027</v>
      </c>
    </row>
    <row r="744" spans="1:28" ht="25.5" x14ac:dyDescent="0.25">
      <c r="A744" s="7">
        <v>743</v>
      </c>
      <c r="B744" s="7" t="s">
        <v>15</v>
      </c>
      <c r="C744" s="7" t="s">
        <v>116</v>
      </c>
      <c r="D744" s="7" t="s">
        <v>840</v>
      </c>
      <c r="E744" s="7"/>
      <c r="F744" s="8"/>
      <c r="G744" s="7" t="s">
        <v>840</v>
      </c>
      <c r="H744" s="9">
        <v>36.859614999999998</v>
      </c>
      <c r="I744" s="9">
        <v>10.325578</v>
      </c>
      <c r="J744" s="7" t="s">
        <v>118</v>
      </c>
      <c r="K744" s="7" t="s">
        <v>37</v>
      </c>
      <c r="L744" s="7"/>
      <c r="M744" s="10">
        <v>8.2899999999999991</v>
      </c>
      <c r="N744" s="7" t="s">
        <v>48</v>
      </c>
      <c r="O744" s="7"/>
      <c r="P744" s="8" t="s">
        <v>39</v>
      </c>
      <c r="Q744">
        <v>7.65</v>
      </c>
      <c r="R744">
        <v>19</v>
      </c>
      <c r="S744" t="s">
        <v>53</v>
      </c>
      <c r="T744">
        <v>16</v>
      </c>
      <c r="U744">
        <f t="shared" si="55"/>
        <v>122.4</v>
      </c>
      <c r="V744">
        <v>1.03</v>
      </c>
      <c r="W744">
        <v>0</v>
      </c>
      <c r="X744">
        <v>0</v>
      </c>
      <c r="Y744">
        <f t="shared" si="56"/>
        <v>0</v>
      </c>
      <c r="Z744">
        <f t="shared" si="57"/>
        <v>126.072</v>
      </c>
      <c r="AA744">
        <f t="shared" si="58"/>
        <v>126.072</v>
      </c>
      <c r="AB744">
        <f t="shared" si="59"/>
        <v>1045.13688</v>
      </c>
    </row>
    <row r="745" spans="1:28" ht="25.5" x14ac:dyDescent="0.25">
      <c r="A745" s="7">
        <v>744</v>
      </c>
      <c r="B745" s="7" t="s">
        <v>15</v>
      </c>
      <c r="C745" s="7" t="s">
        <v>119</v>
      </c>
      <c r="D745" s="7" t="s">
        <v>841</v>
      </c>
      <c r="E745" s="7"/>
      <c r="F745" s="8"/>
      <c r="G745" s="7" t="s">
        <v>841</v>
      </c>
      <c r="H745" s="9">
        <v>36.385970999999998</v>
      </c>
      <c r="I745" s="9">
        <v>9.6168420000000001</v>
      </c>
      <c r="J745" s="7" t="s">
        <v>121</v>
      </c>
      <c r="K745" s="7" t="s">
        <v>37</v>
      </c>
      <c r="L745" s="7"/>
      <c r="M745" s="10">
        <v>11.44</v>
      </c>
      <c r="N745" s="7" t="s">
        <v>52</v>
      </c>
      <c r="O745" s="7"/>
      <c r="P745" s="8" t="s">
        <v>39</v>
      </c>
      <c r="Q745">
        <v>5.48</v>
      </c>
      <c r="R745">
        <v>35.6</v>
      </c>
      <c r="S745" t="s">
        <v>40</v>
      </c>
      <c r="T745">
        <v>12</v>
      </c>
      <c r="U745">
        <f t="shared" si="55"/>
        <v>65.760000000000005</v>
      </c>
      <c r="V745">
        <v>0.66</v>
      </c>
      <c r="W745">
        <v>0</v>
      </c>
      <c r="X745">
        <v>0</v>
      </c>
      <c r="Y745">
        <f t="shared" si="56"/>
        <v>0</v>
      </c>
      <c r="Z745">
        <f t="shared" si="57"/>
        <v>43.401600000000002</v>
      </c>
      <c r="AA745">
        <f t="shared" si="58"/>
        <v>43.401600000000002</v>
      </c>
      <c r="AB745">
        <f t="shared" si="59"/>
        <v>496.51430399999998</v>
      </c>
    </row>
    <row r="746" spans="1:28" ht="25.5" x14ac:dyDescent="0.25">
      <c r="A746" s="7">
        <v>745</v>
      </c>
      <c r="B746" s="7" t="s">
        <v>15</v>
      </c>
      <c r="C746" s="7" t="s">
        <v>34</v>
      </c>
      <c r="D746" s="7" t="s">
        <v>842</v>
      </c>
      <c r="E746" s="7"/>
      <c r="F746" s="8"/>
      <c r="G746" s="7" t="s">
        <v>842</v>
      </c>
      <c r="H746" s="9">
        <v>36.890700000000002</v>
      </c>
      <c r="I746" s="9">
        <v>10.209517</v>
      </c>
      <c r="J746" s="7" t="s">
        <v>36</v>
      </c>
      <c r="K746" s="7" t="s">
        <v>37</v>
      </c>
      <c r="L746" s="7"/>
      <c r="M746" s="10">
        <v>4.59</v>
      </c>
      <c r="N746" s="7" t="s">
        <v>57</v>
      </c>
      <c r="O746" s="7"/>
      <c r="P746" s="8" t="s">
        <v>39</v>
      </c>
      <c r="Q746">
        <v>6</v>
      </c>
      <c r="R746">
        <v>25.7</v>
      </c>
      <c r="S746" t="s">
        <v>58</v>
      </c>
      <c r="T746">
        <v>8</v>
      </c>
      <c r="U746">
        <f t="shared" si="55"/>
        <v>48</v>
      </c>
      <c r="V746">
        <v>1.08</v>
      </c>
      <c r="W746">
        <v>0</v>
      </c>
      <c r="X746">
        <v>0</v>
      </c>
      <c r="Y746">
        <f t="shared" si="56"/>
        <v>0</v>
      </c>
      <c r="Z746">
        <f t="shared" si="57"/>
        <v>51.84</v>
      </c>
      <c r="AA746">
        <f t="shared" si="58"/>
        <v>51.84</v>
      </c>
      <c r="AB746">
        <f t="shared" si="59"/>
        <v>237.94560000000001</v>
      </c>
    </row>
    <row r="747" spans="1:28" ht="25.5" x14ac:dyDescent="0.25">
      <c r="A747" s="7">
        <v>746</v>
      </c>
      <c r="B747" s="7" t="s">
        <v>15</v>
      </c>
      <c r="C747" s="7" t="s">
        <v>41</v>
      </c>
      <c r="D747" s="7" t="s">
        <v>843</v>
      </c>
      <c r="E747" s="7"/>
      <c r="F747" s="8"/>
      <c r="G747" s="7" t="s">
        <v>843</v>
      </c>
      <c r="H747" s="9">
        <v>36.670276000000001</v>
      </c>
      <c r="I747" s="9">
        <v>9.5920339999999999</v>
      </c>
      <c r="J747" s="7" t="s">
        <v>43</v>
      </c>
      <c r="K747" s="7" t="s">
        <v>37</v>
      </c>
      <c r="L747" s="7"/>
      <c r="M747" s="10">
        <v>10.71</v>
      </c>
      <c r="N747" s="7" t="s">
        <v>62</v>
      </c>
      <c r="O747" s="7"/>
      <c r="P747" s="8" t="s">
        <v>39</v>
      </c>
      <c r="Q747">
        <v>3.19</v>
      </c>
      <c r="R747">
        <v>37</v>
      </c>
      <c r="S747" t="s">
        <v>40</v>
      </c>
      <c r="T747">
        <v>7</v>
      </c>
      <c r="U747">
        <f t="shared" si="55"/>
        <v>22.33</v>
      </c>
      <c r="V747">
        <v>0.66</v>
      </c>
      <c r="W747">
        <v>80</v>
      </c>
      <c r="X747">
        <v>0.35</v>
      </c>
      <c r="Y747">
        <f t="shared" si="56"/>
        <v>28</v>
      </c>
      <c r="Z747">
        <f t="shared" si="57"/>
        <v>14.7378</v>
      </c>
      <c r="AA747">
        <f t="shared" si="58"/>
        <v>0</v>
      </c>
      <c r="AB747">
        <f t="shared" si="59"/>
        <v>0</v>
      </c>
    </row>
    <row r="748" spans="1:28" ht="25.5" x14ac:dyDescent="0.25">
      <c r="A748" s="7">
        <v>747</v>
      </c>
      <c r="B748" s="7" t="s">
        <v>15</v>
      </c>
      <c r="C748" s="7" t="s">
        <v>45</v>
      </c>
      <c r="D748" s="7" t="s">
        <v>844</v>
      </c>
      <c r="E748" s="7"/>
      <c r="F748" s="8"/>
      <c r="G748" s="7" t="s">
        <v>844</v>
      </c>
      <c r="H748" s="9">
        <v>36.635624</v>
      </c>
      <c r="I748" s="9">
        <v>10.316689999999999</v>
      </c>
      <c r="J748" s="7" t="s">
        <v>47</v>
      </c>
      <c r="K748" s="7" t="s">
        <v>37</v>
      </c>
      <c r="L748" s="7"/>
      <c r="M748" s="10">
        <v>2.89</v>
      </c>
      <c r="N748" s="7" t="s">
        <v>66</v>
      </c>
      <c r="O748" s="7"/>
      <c r="P748" s="8" t="s">
        <v>39</v>
      </c>
      <c r="Q748">
        <v>2.19</v>
      </c>
      <c r="R748">
        <v>41.2</v>
      </c>
      <c r="S748" t="s">
        <v>40</v>
      </c>
      <c r="T748">
        <v>10</v>
      </c>
      <c r="U748">
        <f t="shared" si="55"/>
        <v>21.9</v>
      </c>
      <c r="V748">
        <v>0.48</v>
      </c>
      <c r="W748">
        <v>80</v>
      </c>
      <c r="X748">
        <v>0.35</v>
      </c>
      <c r="Y748">
        <f t="shared" si="56"/>
        <v>28</v>
      </c>
      <c r="Z748">
        <f t="shared" si="57"/>
        <v>10.511999999999999</v>
      </c>
      <c r="AA748">
        <f t="shared" si="58"/>
        <v>0</v>
      </c>
      <c r="AB748">
        <f t="shared" si="59"/>
        <v>0</v>
      </c>
    </row>
    <row r="749" spans="1:28" ht="25.5" x14ac:dyDescent="0.25">
      <c r="A749" s="7">
        <v>748</v>
      </c>
      <c r="B749" s="7" t="s">
        <v>15</v>
      </c>
      <c r="C749" s="7" t="s">
        <v>49</v>
      </c>
      <c r="D749" s="7" t="s">
        <v>845</v>
      </c>
      <c r="E749" s="7"/>
      <c r="F749" s="8"/>
      <c r="G749" s="7" t="s">
        <v>845</v>
      </c>
      <c r="H749" s="9">
        <v>37.160756999999997</v>
      </c>
      <c r="I749" s="9">
        <v>9.7727059999999994</v>
      </c>
      <c r="J749" s="7" t="s">
        <v>51</v>
      </c>
      <c r="K749" s="7" t="s">
        <v>37</v>
      </c>
      <c r="L749" s="7"/>
      <c r="M749" s="10">
        <v>19.55</v>
      </c>
      <c r="N749" s="7" t="s">
        <v>70</v>
      </c>
      <c r="O749" s="7"/>
      <c r="P749" s="8" t="s">
        <v>39</v>
      </c>
      <c r="Q749">
        <v>6.83</v>
      </c>
      <c r="R749">
        <v>19.8</v>
      </c>
      <c r="S749" t="s">
        <v>53</v>
      </c>
      <c r="T749">
        <v>9</v>
      </c>
      <c r="U749">
        <f t="shared" si="55"/>
        <v>61.47</v>
      </c>
      <c r="V749">
        <v>1.03</v>
      </c>
      <c r="W749">
        <v>120</v>
      </c>
      <c r="X749">
        <v>0.35</v>
      </c>
      <c r="Y749">
        <f t="shared" si="56"/>
        <v>42</v>
      </c>
      <c r="Z749">
        <f t="shared" si="57"/>
        <v>63.314100000000003</v>
      </c>
      <c r="AA749">
        <f t="shared" si="58"/>
        <v>21.314100000000003</v>
      </c>
      <c r="AB749">
        <f t="shared" si="59"/>
        <v>416.69065500000011</v>
      </c>
    </row>
    <row r="750" spans="1:28" ht="25.5" x14ac:dyDescent="0.25">
      <c r="A750" s="7">
        <v>749</v>
      </c>
      <c r="B750" s="7" t="s">
        <v>15</v>
      </c>
      <c r="C750" s="7" t="s">
        <v>54</v>
      </c>
      <c r="D750" s="7" t="s">
        <v>846</v>
      </c>
      <c r="E750" s="7"/>
      <c r="F750" s="8"/>
      <c r="G750" s="7" t="s">
        <v>846</v>
      </c>
      <c r="H750" s="9">
        <v>33.639341999999999</v>
      </c>
      <c r="I750" s="9">
        <v>10.297776000000001</v>
      </c>
      <c r="J750" s="7" t="s">
        <v>56</v>
      </c>
      <c r="K750" s="7" t="s">
        <v>37</v>
      </c>
      <c r="L750" s="7"/>
      <c r="M750" s="10">
        <v>8.69</v>
      </c>
      <c r="N750" s="7" t="s">
        <v>74</v>
      </c>
      <c r="O750" s="7"/>
      <c r="P750" s="8" t="s">
        <v>39</v>
      </c>
      <c r="Q750">
        <v>4.25</v>
      </c>
      <c r="R750">
        <v>35.299999999999997</v>
      </c>
      <c r="S750" t="s">
        <v>40</v>
      </c>
      <c r="T750">
        <v>10</v>
      </c>
      <c r="U750">
        <f t="shared" si="55"/>
        <v>42.5</v>
      </c>
      <c r="V750">
        <v>0.54</v>
      </c>
      <c r="W750">
        <v>0</v>
      </c>
      <c r="X750">
        <v>0</v>
      </c>
      <c r="Y750">
        <f t="shared" si="56"/>
        <v>0</v>
      </c>
      <c r="Z750">
        <f t="shared" si="57"/>
        <v>22.950000000000003</v>
      </c>
      <c r="AA750">
        <f t="shared" si="58"/>
        <v>22.950000000000003</v>
      </c>
      <c r="AB750">
        <f t="shared" si="59"/>
        <v>199.43550000000002</v>
      </c>
    </row>
    <row r="751" spans="1:28" ht="25.5" x14ac:dyDescent="0.25">
      <c r="A751" s="7">
        <v>750</v>
      </c>
      <c r="B751" s="7" t="s">
        <v>15</v>
      </c>
      <c r="C751" s="7" t="s">
        <v>59</v>
      </c>
      <c r="D751" s="7" t="s">
        <v>847</v>
      </c>
      <c r="E751" s="7"/>
      <c r="F751" s="8"/>
      <c r="G751" s="7" t="s">
        <v>847</v>
      </c>
      <c r="H751" s="9">
        <v>34.357666999999999</v>
      </c>
      <c r="I751" s="9">
        <v>8.3866359999999993</v>
      </c>
      <c r="J751" s="7" t="s">
        <v>61</v>
      </c>
      <c r="K751" s="7" t="s">
        <v>37</v>
      </c>
      <c r="L751" s="7"/>
      <c r="M751" s="10">
        <v>11.98</v>
      </c>
      <c r="N751" s="7" t="s">
        <v>78</v>
      </c>
      <c r="O751" s="7"/>
      <c r="P751" s="8" t="s">
        <v>39</v>
      </c>
      <c r="Q751">
        <v>4.37</v>
      </c>
      <c r="R751">
        <v>21.6</v>
      </c>
      <c r="S751" t="s">
        <v>53</v>
      </c>
      <c r="T751">
        <v>14</v>
      </c>
      <c r="U751">
        <f t="shared" si="55"/>
        <v>61.18</v>
      </c>
      <c r="V751">
        <v>1.1499999999999999</v>
      </c>
      <c r="W751">
        <v>160</v>
      </c>
      <c r="X751">
        <v>0.35</v>
      </c>
      <c r="Y751">
        <f t="shared" si="56"/>
        <v>56</v>
      </c>
      <c r="Z751">
        <f t="shared" si="57"/>
        <v>70.356999999999999</v>
      </c>
      <c r="AA751">
        <f t="shared" si="58"/>
        <v>14.356999999999999</v>
      </c>
      <c r="AB751">
        <f t="shared" si="59"/>
        <v>171.99686</v>
      </c>
    </row>
    <row r="752" spans="1:28" ht="25.5" x14ac:dyDescent="0.25">
      <c r="A752" s="7">
        <v>751</v>
      </c>
      <c r="B752" s="7" t="s">
        <v>15</v>
      </c>
      <c r="C752" s="7" t="s">
        <v>63</v>
      </c>
      <c r="D752" s="7" t="s">
        <v>848</v>
      </c>
      <c r="E752" s="7"/>
      <c r="F752" s="8"/>
      <c r="G752" s="7" t="s">
        <v>848</v>
      </c>
      <c r="H752" s="9">
        <v>36.948126000000002</v>
      </c>
      <c r="I752" s="9">
        <v>8.7624359999999992</v>
      </c>
      <c r="J752" s="7" t="s">
        <v>65</v>
      </c>
      <c r="K752" s="7" t="s">
        <v>37</v>
      </c>
      <c r="L752" s="7"/>
      <c r="M752" s="10">
        <v>7.89</v>
      </c>
      <c r="N752" s="7" t="s">
        <v>38</v>
      </c>
      <c r="O752" s="7"/>
      <c r="P752" s="8" t="s">
        <v>39</v>
      </c>
      <c r="Q752">
        <v>4.03</v>
      </c>
      <c r="R752">
        <v>18.100000000000001</v>
      </c>
      <c r="S752" t="s">
        <v>53</v>
      </c>
      <c r="T752">
        <v>18</v>
      </c>
      <c r="U752">
        <f t="shared" si="55"/>
        <v>72.540000000000006</v>
      </c>
      <c r="V752">
        <v>1.1499999999999999</v>
      </c>
      <c r="W752">
        <v>80</v>
      </c>
      <c r="X752">
        <v>0.35</v>
      </c>
      <c r="Y752">
        <f t="shared" si="56"/>
        <v>28</v>
      </c>
      <c r="Z752">
        <f t="shared" si="57"/>
        <v>83.421000000000006</v>
      </c>
      <c r="AA752">
        <f t="shared" si="58"/>
        <v>55.421000000000006</v>
      </c>
      <c r="AB752">
        <f t="shared" si="59"/>
        <v>437.27169000000004</v>
      </c>
    </row>
    <row r="753" spans="1:28" ht="25.5" x14ac:dyDescent="0.25">
      <c r="A753" s="7">
        <v>752</v>
      </c>
      <c r="B753" s="7" t="s">
        <v>15</v>
      </c>
      <c r="C753" s="7" t="s">
        <v>67</v>
      </c>
      <c r="D753" s="7" t="s">
        <v>849</v>
      </c>
      <c r="E753" s="7"/>
      <c r="F753" s="8"/>
      <c r="G753" s="7" t="s">
        <v>849</v>
      </c>
      <c r="H753" s="9">
        <v>35.611280000000001</v>
      </c>
      <c r="I753" s="9">
        <v>9.9019639999999995</v>
      </c>
      <c r="J753" s="7" t="s">
        <v>69</v>
      </c>
      <c r="K753" s="7" t="s">
        <v>37</v>
      </c>
      <c r="L753" s="7"/>
      <c r="M753" s="10">
        <v>4.97</v>
      </c>
      <c r="N753" s="7" t="s">
        <v>44</v>
      </c>
      <c r="O753" s="7"/>
      <c r="P753" s="8" t="s">
        <v>39</v>
      </c>
      <c r="Q753">
        <v>3.9</v>
      </c>
      <c r="R753">
        <v>38.799999999999997</v>
      </c>
      <c r="S753" t="s">
        <v>40</v>
      </c>
      <c r="T753">
        <v>18</v>
      </c>
      <c r="U753">
        <f t="shared" si="55"/>
        <v>70.2</v>
      </c>
      <c r="V753">
        <v>0.6</v>
      </c>
      <c r="W753">
        <v>0</v>
      </c>
      <c r="X753">
        <v>0</v>
      </c>
      <c r="Y753">
        <f t="shared" si="56"/>
        <v>0</v>
      </c>
      <c r="Z753">
        <f t="shared" si="57"/>
        <v>42.12</v>
      </c>
      <c r="AA753">
        <f t="shared" si="58"/>
        <v>42.12</v>
      </c>
      <c r="AB753">
        <f t="shared" si="59"/>
        <v>209.33639999999997</v>
      </c>
    </row>
    <row r="754" spans="1:28" ht="25.5" x14ac:dyDescent="0.25">
      <c r="A754" s="7">
        <v>753</v>
      </c>
      <c r="B754" s="7" t="s">
        <v>15</v>
      </c>
      <c r="C754" s="7" t="s">
        <v>71</v>
      </c>
      <c r="D754" s="7" t="s">
        <v>850</v>
      </c>
      <c r="E754" s="7"/>
      <c r="F754" s="8"/>
      <c r="G754" s="7" t="s">
        <v>850</v>
      </c>
      <c r="H754" s="9">
        <v>35.223815999999999</v>
      </c>
      <c r="I754" s="9">
        <v>9.1317039999999992</v>
      </c>
      <c r="J754" s="7" t="s">
        <v>73</v>
      </c>
      <c r="K754" s="7" t="s">
        <v>37</v>
      </c>
      <c r="L754" s="7"/>
      <c r="M754" s="10">
        <v>11.58</v>
      </c>
      <c r="N754" s="7" t="s">
        <v>48</v>
      </c>
      <c r="O754" s="7"/>
      <c r="P754" s="8" t="s">
        <v>39</v>
      </c>
      <c r="Q754">
        <v>5.07</v>
      </c>
      <c r="R754">
        <v>10.7</v>
      </c>
      <c r="S754" t="s">
        <v>91</v>
      </c>
      <c r="T754">
        <v>16</v>
      </c>
      <c r="U754">
        <f t="shared" si="55"/>
        <v>81.12</v>
      </c>
      <c r="V754">
        <v>1.22</v>
      </c>
      <c r="W754">
        <v>160</v>
      </c>
      <c r="X754">
        <v>0.35</v>
      </c>
      <c r="Y754">
        <f t="shared" si="56"/>
        <v>56</v>
      </c>
      <c r="Z754">
        <f t="shared" si="57"/>
        <v>98.966400000000007</v>
      </c>
      <c r="AA754">
        <f t="shared" si="58"/>
        <v>42.966400000000007</v>
      </c>
      <c r="AB754">
        <f t="shared" si="59"/>
        <v>497.5509120000001</v>
      </c>
    </row>
    <row r="755" spans="1:28" ht="25.5" x14ac:dyDescent="0.25">
      <c r="A755" s="7">
        <v>754</v>
      </c>
      <c r="B755" s="7" t="s">
        <v>15</v>
      </c>
      <c r="C755" s="7" t="s">
        <v>75</v>
      </c>
      <c r="D755" s="7" t="s">
        <v>851</v>
      </c>
      <c r="E755" s="7"/>
      <c r="F755" s="8"/>
      <c r="G755" s="7" t="s">
        <v>851</v>
      </c>
      <c r="H755" s="9">
        <v>33.472870999999998</v>
      </c>
      <c r="I755" s="9">
        <v>9.0197620000000001</v>
      </c>
      <c r="J755" s="7" t="s">
        <v>77</v>
      </c>
      <c r="K755" s="7" t="s">
        <v>37</v>
      </c>
      <c r="L755" s="7"/>
      <c r="M755" s="10">
        <v>16.7</v>
      </c>
      <c r="N755" s="7" t="s">
        <v>52</v>
      </c>
      <c r="O755" s="7"/>
      <c r="P755" s="8" t="s">
        <v>39</v>
      </c>
      <c r="Q755">
        <v>5.52</v>
      </c>
      <c r="R755">
        <v>35.9</v>
      </c>
      <c r="S755" t="s">
        <v>40</v>
      </c>
      <c r="T755">
        <v>12</v>
      </c>
      <c r="U755">
        <f t="shared" si="55"/>
        <v>66.239999999999995</v>
      </c>
      <c r="V755">
        <v>0.66</v>
      </c>
      <c r="W755">
        <v>80</v>
      </c>
      <c r="X755">
        <v>0.35</v>
      </c>
      <c r="Y755">
        <f t="shared" si="56"/>
        <v>28</v>
      </c>
      <c r="Z755">
        <f t="shared" si="57"/>
        <v>43.718399999999995</v>
      </c>
      <c r="AA755">
        <f t="shared" si="58"/>
        <v>15.718399999999995</v>
      </c>
      <c r="AB755">
        <f t="shared" si="59"/>
        <v>262.49727999999993</v>
      </c>
    </row>
    <row r="756" spans="1:28" ht="25.5" x14ac:dyDescent="0.25">
      <c r="A756" s="7">
        <v>755</v>
      </c>
      <c r="B756" s="7" t="s">
        <v>15</v>
      </c>
      <c r="C756" s="7" t="s">
        <v>79</v>
      </c>
      <c r="D756" s="7" t="s">
        <v>852</v>
      </c>
      <c r="E756" s="7"/>
      <c r="F756" s="8"/>
      <c r="G756" s="7" t="s">
        <v>852</v>
      </c>
      <c r="H756" s="9">
        <v>35.946313000000004</v>
      </c>
      <c r="I756" s="9">
        <v>8.8521520000000002</v>
      </c>
      <c r="J756" s="7" t="s">
        <v>81</v>
      </c>
      <c r="K756" s="7" t="s">
        <v>37</v>
      </c>
      <c r="L756" s="7"/>
      <c r="M756" s="10">
        <v>2.13</v>
      </c>
      <c r="N756" s="7" t="s">
        <v>57</v>
      </c>
      <c r="O756" s="7"/>
      <c r="P756" s="8" t="s">
        <v>39</v>
      </c>
      <c r="Q756">
        <v>5.0599999999999996</v>
      </c>
      <c r="R756">
        <v>43.1</v>
      </c>
      <c r="S756" t="s">
        <v>40</v>
      </c>
      <c r="T756">
        <v>8</v>
      </c>
      <c r="U756">
        <f t="shared" si="55"/>
        <v>40.479999999999997</v>
      </c>
      <c r="V756">
        <v>0.72</v>
      </c>
      <c r="W756">
        <v>160</v>
      </c>
      <c r="X756">
        <v>0.35</v>
      </c>
      <c r="Y756">
        <f t="shared" si="56"/>
        <v>56</v>
      </c>
      <c r="Z756">
        <f t="shared" si="57"/>
        <v>29.145599999999998</v>
      </c>
      <c r="AA756">
        <f t="shared" si="58"/>
        <v>0</v>
      </c>
      <c r="AB756">
        <f t="shared" si="59"/>
        <v>0</v>
      </c>
    </row>
    <row r="757" spans="1:28" ht="25.5" x14ac:dyDescent="0.25">
      <c r="A757" s="7">
        <v>756</v>
      </c>
      <c r="B757" s="7" t="s">
        <v>15</v>
      </c>
      <c r="C757" s="7" t="s">
        <v>82</v>
      </c>
      <c r="D757" s="7" t="s">
        <v>853</v>
      </c>
      <c r="E757" s="7"/>
      <c r="F757" s="8"/>
      <c r="G757" s="7" t="s">
        <v>853</v>
      </c>
      <c r="H757" s="9">
        <v>35.213878999999999</v>
      </c>
      <c r="I757" s="9">
        <v>11.110704</v>
      </c>
      <c r="J757" s="7" t="s">
        <v>84</v>
      </c>
      <c r="K757" s="7" t="s">
        <v>37</v>
      </c>
      <c r="L757" s="7"/>
      <c r="M757" s="10">
        <v>11.14</v>
      </c>
      <c r="N757" s="7" t="s">
        <v>62</v>
      </c>
      <c r="O757" s="7"/>
      <c r="P757" s="8" t="s">
        <v>39</v>
      </c>
      <c r="Q757">
        <v>2.81</v>
      </c>
      <c r="R757">
        <v>21.3</v>
      </c>
      <c r="S757" t="s">
        <v>53</v>
      </c>
      <c r="T757">
        <v>7</v>
      </c>
      <c r="U757">
        <f t="shared" si="55"/>
        <v>19.670000000000002</v>
      </c>
      <c r="V757">
        <v>1.26</v>
      </c>
      <c r="W757">
        <v>50</v>
      </c>
      <c r="X757">
        <v>0.35</v>
      </c>
      <c r="Y757">
        <f t="shared" si="56"/>
        <v>17.5</v>
      </c>
      <c r="Z757">
        <f t="shared" si="57"/>
        <v>24.784200000000002</v>
      </c>
      <c r="AA757">
        <f t="shared" si="58"/>
        <v>7.284200000000002</v>
      </c>
      <c r="AB757">
        <f t="shared" si="59"/>
        <v>81.145988000000031</v>
      </c>
    </row>
    <row r="758" spans="1:28" ht="25.5" x14ac:dyDescent="0.25">
      <c r="A758" s="7">
        <v>757</v>
      </c>
      <c r="B758" s="7" t="s">
        <v>15</v>
      </c>
      <c r="C758" s="7" t="s">
        <v>85</v>
      </c>
      <c r="D758" s="7" t="s">
        <v>854</v>
      </c>
      <c r="E758" s="7"/>
      <c r="F758" s="8"/>
      <c r="G758" s="7" t="s">
        <v>854</v>
      </c>
      <c r="H758" s="9">
        <v>36.850571000000002</v>
      </c>
      <c r="I758" s="9">
        <v>9.8591259999999998</v>
      </c>
      <c r="J758" s="7" t="s">
        <v>87</v>
      </c>
      <c r="K758" s="7" t="s">
        <v>37</v>
      </c>
      <c r="L758" s="7"/>
      <c r="M758" s="10">
        <v>4.57</v>
      </c>
      <c r="N758" s="7" t="s">
        <v>66</v>
      </c>
      <c r="O758" s="7"/>
      <c r="P758" s="8" t="s">
        <v>39</v>
      </c>
      <c r="Q758">
        <v>7.93</v>
      </c>
      <c r="R758">
        <v>27.9</v>
      </c>
      <c r="S758" t="s">
        <v>58</v>
      </c>
      <c r="T758">
        <v>10</v>
      </c>
      <c r="U758">
        <f t="shared" si="55"/>
        <v>79.3</v>
      </c>
      <c r="V758">
        <v>0.72</v>
      </c>
      <c r="W758">
        <v>160</v>
      </c>
      <c r="X758">
        <v>0.35</v>
      </c>
      <c r="Y758">
        <f t="shared" si="56"/>
        <v>56</v>
      </c>
      <c r="Z758">
        <f t="shared" si="57"/>
        <v>57.095999999999997</v>
      </c>
      <c r="AA758">
        <f t="shared" si="58"/>
        <v>1.0959999999999965</v>
      </c>
      <c r="AB758">
        <f t="shared" si="59"/>
        <v>5.0087199999999843</v>
      </c>
    </row>
    <row r="759" spans="1:28" ht="25.5" x14ac:dyDescent="0.25">
      <c r="A759" s="7">
        <v>758</v>
      </c>
      <c r="B759" s="7" t="s">
        <v>15</v>
      </c>
      <c r="C759" s="7" t="s">
        <v>88</v>
      </c>
      <c r="D759" s="7" t="s">
        <v>855</v>
      </c>
      <c r="E759" s="7"/>
      <c r="F759" s="8"/>
      <c r="G759" s="7" t="s">
        <v>855</v>
      </c>
      <c r="H759" s="9">
        <v>33.779803000000001</v>
      </c>
      <c r="I759" s="9">
        <v>10.983032</v>
      </c>
      <c r="J759" s="7" t="s">
        <v>90</v>
      </c>
      <c r="K759" s="7" t="s">
        <v>37</v>
      </c>
      <c r="L759" s="7"/>
      <c r="M759" s="10">
        <v>2.91</v>
      </c>
      <c r="N759" s="7" t="s">
        <v>70</v>
      </c>
      <c r="O759" s="7"/>
      <c r="P759" s="8" t="s">
        <v>39</v>
      </c>
      <c r="Q759">
        <v>7.16</v>
      </c>
      <c r="R759">
        <v>25.5</v>
      </c>
      <c r="S759" t="s">
        <v>58</v>
      </c>
      <c r="T759">
        <v>9</v>
      </c>
      <c r="U759">
        <f t="shared" si="55"/>
        <v>64.44</v>
      </c>
      <c r="V759">
        <v>0.81</v>
      </c>
      <c r="W759">
        <v>80</v>
      </c>
      <c r="X759">
        <v>0.35</v>
      </c>
      <c r="Y759">
        <f t="shared" si="56"/>
        <v>28</v>
      </c>
      <c r="Z759">
        <f t="shared" si="57"/>
        <v>52.196400000000004</v>
      </c>
      <c r="AA759">
        <f t="shared" si="58"/>
        <v>24.196400000000004</v>
      </c>
      <c r="AB759">
        <f t="shared" si="59"/>
        <v>70.411524000000014</v>
      </c>
    </row>
    <row r="760" spans="1:28" ht="25.5" x14ac:dyDescent="0.25">
      <c r="A760" s="7">
        <v>759</v>
      </c>
      <c r="B760" s="7" t="s">
        <v>15</v>
      </c>
      <c r="C760" s="7" t="s">
        <v>92</v>
      </c>
      <c r="D760" s="7" t="s">
        <v>856</v>
      </c>
      <c r="E760" s="7"/>
      <c r="F760" s="8"/>
      <c r="G760" s="7" t="s">
        <v>856</v>
      </c>
      <c r="H760" s="9">
        <v>35.593643</v>
      </c>
      <c r="I760" s="9">
        <v>10.747612999999999</v>
      </c>
      <c r="J760" s="7" t="s">
        <v>94</v>
      </c>
      <c r="K760" s="7" t="s">
        <v>37</v>
      </c>
      <c r="L760" s="7"/>
      <c r="M760" s="10">
        <v>10.220000000000001</v>
      </c>
      <c r="N760" s="7" t="s">
        <v>74</v>
      </c>
      <c r="O760" s="7"/>
      <c r="P760" s="8" t="s">
        <v>39</v>
      </c>
      <c r="Q760">
        <v>5.32</v>
      </c>
      <c r="R760">
        <v>20.5</v>
      </c>
      <c r="S760" t="s">
        <v>53</v>
      </c>
      <c r="T760">
        <v>10</v>
      </c>
      <c r="U760">
        <f t="shared" si="55"/>
        <v>53.2</v>
      </c>
      <c r="V760">
        <v>1.03</v>
      </c>
      <c r="W760">
        <v>0</v>
      </c>
      <c r="X760">
        <v>0</v>
      </c>
      <c r="Y760">
        <f t="shared" si="56"/>
        <v>0</v>
      </c>
      <c r="Z760">
        <f t="shared" si="57"/>
        <v>54.796000000000006</v>
      </c>
      <c r="AA760">
        <f t="shared" si="58"/>
        <v>54.796000000000006</v>
      </c>
      <c r="AB760">
        <f t="shared" si="59"/>
        <v>560.01512000000014</v>
      </c>
    </row>
    <row r="761" spans="1:28" ht="25.5" x14ac:dyDescent="0.25">
      <c r="A761" s="7">
        <v>760</v>
      </c>
      <c r="B761" s="7" t="s">
        <v>15</v>
      </c>
      <c r="C761" s="7" t="s">
        <v>95</v>
      </c>
      <c r="D761" s="7" t="s">
        <v>857</v>
      </c>
      <c r="E761" s="7"/>
      <c r="F761" s="8"/>
      <c r="G761" s="7" t="s">
        <v>857</v>
      </c>
      <c r="H761" s="9">
        <v>36.545895999999999</v>
      </c>
      <c r="I761" s="9">
        <v>10.842088</v>
      </c>
      <c r="J761" s="7" t="s">
        <v>97</v>
      </c>
      <c r="K761" s="7" t="s">
        <v>37</v>
      </c>
      <c r="L761" s="7"/>
      <c r="M761" s="10">
        <v>11.81</v>
      </c>
      <c r="N761" s="7" t="s">
        <v>78</v>
      </c>
      <c r="O761" s="7"/>
      <c r="P761" s="8" t="s">
        <v>39</v>
      </c>
      <c r="Q761">
        <v>6.3</v>
      </c>
      <c r="R761">
        <v>34.5</v>
      </c>
      <c r="S761" t="s">
        <v>58</v>
      </c>
      <c r="T761">
        <v>14</v>
      </c>
      <c r="U761">
        <f t="shared" si="55"/>
        <v>88.2</v>
      </c>
      <c r="V761">
        <v>0.9</v>
      </c>
      <c r="W761">
        <v>0</v>
      </c>
      <c r="X761">
        <v>0</v>
      </c>
      <c r="Y761">
        <f t="shared" si="56"/>
        <v>0</v>
      </c>
      <c r="Z761">
        <f t="shared" si="57"/>
        <v>79.38000000000001</v>
      </c>
      <c r="AA761">
        <f t="shared" si="58"/>
        <v>79.38000000000001</v>
      </c>
      <c r="AB761">
        <f t="shared" si="59"/>
        <v>937.47780000000012</v>
      </c>
    </row>
    <row r="762" spans="1:28" ht="25.5" x14ac:dyDescent="0.25">
      <c r="A762" s="7">
        <v>761</v>
      </c>
      <c r="B762" s="7" t="s">
        <v>15</v>
      </c>
      <c r="C762" s="7" t="s">
        <v>98</v>
      </c>
      <c r="D762" s="7" t="s">
        <v>858</v>
      </c>
      <c r="E762" s="7"/>
      <c r="F762" s="8"/>
      <c r="G762" s="7" t="s">
        <v>858</v>
      </c>
      <c r="H762" s="9">
        <v>34.738709999999998</v>
      </c>
      <c r="I762" s="9">
        <v>10.483553000000001</v>
      </c>
      <c r="J762" s="7" t="s">
        <v>100</v>
      </c>
      <c r="K762" s="7" t="s">
        <v>37</v>
      </c>
      <c r="L762" s="7"/>
      <c r="M762" s="10">
        <v>10.49</v>
      </c>
      <c r="N762" s="7" t="s">
        <v>38</v>
      </c>
      <c r="O762" s="7"/>
      <c r="P762" s="8" t="s">
        <v>39</v>
      </c>
      <c r="Q762">
        <v>4.8</v>
      </c>
      <c r="R762">
        <v>38</v>
      </c>
      <c r="S762" t="s">
        <v>40</v>
      </c>
      <c r="T762">
        <v>18</v>
      </c>
      <c r="U762">
        <f t="shared" si="55"/>
        <v>86.399999999999991</v>
      </c>
      <c r="V762">
        <v>0.6</v>
      </c>
      <c r="W762">
        <v>0</v>
      </c>
      <c r="X762">
        <v>0</v>
      </c>
      <c r="Y762">
        <f t="shared" si="56"/>
        <v>0</v>
      </c>
      <c r="Z762">
        <f t="shared" si="57"/>
        <v>51.839999999999996</v>
      </c>
      <c r="AA762">
        <f t="shared" si="58"/>
        <v>51.839999999999996</v>
      </c>
      <c r="AB762">
        <f t="shared" si="59"/>
        <v>543.80160000000001</v>
      </c>
    </row>
    <row r="763" spans="1:28" ht="25.5" x14ac:dyDescent="0.25">
      <c r="A763" s="7">
        <v>762</v>
      </c>
      <c r="B763" s="7" t="s">
        <v>15</v>
      </c>
      <c r="C763" s="7" t="s">
        <v>101</v>
      </c>
      <c r="D763" s="7" t="s">
        <v>859</v>
      </c>
      <c r="E763" s="7"/>
      <c r="F763" s="8"/>
      <c r="G763" s="7" t="s">
        <v>859</v>
      </c>
      <c r="H763" s="9">
        <v>34.923721</v>
      </c>
      <c r="I763" s="9">
        <v>9.7942210000000003</v>
      </c>
      <c r="J763" s="7" t="s">
        <v>103</v>
      </c>
      <c r="K763" s="7" t="s">
        <v>37</v>
      </c>
      <c r="L763" s="7"/>
      <c r="M763" s="10">
        <v>23.9</v>
      </c>
      <c r="N763" s="7" t="s">
        <v>44</v>
      </c>
      <c r="O763" s="7"/>
      <c r="P763" s="8" t="s">
        <v>39</v>
      </c>
      <c r="Q763">
        <v>6.75</v>
      </c>
      <c r="R763">
        <v>21.7</v>
      </c>
      <c r="S763" t="s">
        <v>53</v>
      </c>
      <c r="T763">
        <v>18</v>
      </c>
      <c r="U763">
        <f t="shared" si="55"/>
        <v>121.5</v>
      </c>
      <c r="V763">
        <v>1.1499999999999999</v>
      </c>
      <c r="W763">
        <v>80</v>
      </c>
      <c r="X763">
        <v>0.35</v>
      </c>
      <c r="Y763">
        <f t="shared" si="56"/>
        <v>28</v>
      </c>
      <c r="Z763">
        <f t="shared" si="57"/>
        <v>139.72499999999999</v>
      </c>
      <c r="AA763">
        <f t="shared" si="58"/>
        <v>111.72499999999999</v>
      </c>
      <c r="AB763">
        <f t="shared" si="59"/>
        <v>2670.2274999999995</v>
      </c>
    </row>
    <row r="764" spans="1:28" ht="25.5" x14ac:dyDescent="0.25">
      <c r="A764" s="7">
        <v>763</v>
      </c>
      <c r="B764" s="7" t="s">
        <v>15</v>
      </c>
      <c r="C764" s="7" t="s">
        <v>104</v>
      </c>
      <c r="D764" s="7" t="s">
        <v>860</v>
      </c>
      <c r="E764" s="7"/>
      <c r="F764" s="8"/>
      <c r="G764" s="7" t="s">
        <v>860</v>
      </c>
      <c r="H764" s="9">
        <v>35.831484000000003</v>
      </c>
      <c r="I764" s="9">
        <v>9.2008620000000008</v>
      </c>
      <c r="J764" s="7" t="s">
        <v>106</v>
      </c>
      <c r="K764" s="7" t="s">
        <v>37</v>
      </c>
      <c r="L764" s="7"/>
      <c r="M764" s="10">
        <v>8.7100000000000009</v>
      </c>
      <c r="N764" s="7" t="s">
        <v>48</v>
      </c>
      <c r="O764" s="7"/>
      <c r="P764" s="8" t="s">
        <v>39</v>
      </c>
      <c r="Q764">
        <v>2.64</v>
      </c>
      <c r="R764">
        <v>13.2</v>
      </c>
      <c r="S764" t="s">
        <v>91</v>
      </c>
      <c r="T764">
        <v>16</v>
      </c>
      <c r="U764">
        <f t="shared" si="55"/>
        <v>42.24</v>
      </c>
      <c r="V764">
        <v>1.22</v>
      </c>
      <c r="W764">
        <v>0</v>
      </c>
      <c r="X764">
        <v>0</v>
      </c>
      <c r="Y764">
        <f t="shared" si="56"/>
        <v>0</v>
      </c>
      <c r="Z764">
        <f t="shared" si="57"/>
        <v>51.532800000000002</v>
      </c>
      <c r="AA764">
        <f t="shared" si="58"/>
        <v>51.532800000000002</v>
      </c>
      <c r="AB764">
        <f t="shared" si="59"/>
        <v>448.85068800000005</v>
      </c>
    </row>
    <row r="765" spans="1:28" ht="25.5" x14ac:dyDescent="0.25">
      <c r="A765" s="7">
        <v>764</v>
      </c>
      <c r="B765" s="7" t="s">
        <v>15</v>
      </c>
      <c r="C765" s="7" t="s">
        <v>107</v>
      </c>
      <c r="D765" s="7" t="s">
        <v>861</v>
      </c>
      <c r="E765" s="7"/>
      <c r="F765" s="8"/>
      <c r="G765" s="7" t="s">
        <v>861</v>
      </c>
      <c r="H765" s="9">
        <v>36.116785</v>
      </c>
      <c r="I765" s="9">
        <v>10.382835</v>
      </c>
      <c r="J765" s="7" t="s">
        <v>109</v>
      </c>
      <c r="K765" s="7" t="s">
        <v>37</v>
      </c>
      <c r="L765" s="7"/>
      <c r="M765" s="10">
        <v>7.25</v>
      </c>
      <c r="N765" s="7" t="s">
        <v>52</v>
      </c>
      <c r="O765" s="7"/>
      <c r="P765" s="8" t="s">
        <v>39</v>
      </c>
      <c r="Q765">
        <v>1.93</v>
      </c>
      <c r="R765">
        <v>11.9</v>
      </c>
      <c r="S765" t="s">
        <v>91</v>
      </c>
      <c r="T765">
        <v>12</v>
      </c>
      <c r="U765">
        <f t="shared" si="55"/>
        <v>23.16</v>
      </c>
      <c r="V765">
        <v>1.49</v>
      </c>
      <c r="W765">
        <v>120</v>
      </c>
      <c r="X765">
        <v>0.35</v>
      </c>
      <c r="Y765">
        <f t="shared" si="56"/>
        <v>42</v>
      </c>
      <c r="Z765">
        <f t="shared" si="57"/>
        <v>34.508400000000002</v>
      </c>
      <c r="AA765">
        <f t="shared" si="58"/>
        <v>0</v>
      </c>
      <c r="AB765">
        <f t="shared" si="59"/>
        <v>0</v>
      </c>
    </row>
    <row r="766" spans="1:28" ht="25.5" x14ac:dyDescent="0.25">
      <c r="A766" s="7">
        <v>765</v>
      </c>
      <c r="B766" s="7" t="s">
        <v>15</v>
      </c>
      <c r="C766" s="7" t="s">
        <v>110</v>
      </c>
      <c r="D766" s="7" t="s">
        <v>862</v>
      </c>
      <c r="E766" s="7"/>
      <c r="F766" s="8"/>
      <c r="G766" s="7" t="s">
        <v>862</v>
      </c>
      <c r="H766" s="9">
        <v>33.169986000000002</v>
      </c>
      <c r="I766" s="9">
        <v>10.227922</v>
      </c>
      <c r="J766" s="7" t="s">
        <v>112</v>
      </c>
      <c r="K766" s="7" t="s">
        <v>37</v>
      </c>
      <c r="L766" s="7"/>
      <c r="M766" s="10">
        <v>24.17</v>
      </c>
      <c r="N766" s="7" t="s">
        <v>57</v>
      </c>
      <c r="O766" s="7"/>
      <c r="P766" s="8" t="s">
        <v>39</v>
      </c>
      <c r="Q766">
        <v>6.29</v>
      </c>
      <c r="R766">
        <v>22.5</v>
      </c>
      <c r="S766" t="s">
        <v>53</v>
      </c>
      <c r="T766">
        <v>8</v>
      </c>
      <c r="U766">
        <f t="shared" si="55"/>
        <v>50.32</v>
      </c>
      <c r="V766">
        <v>1.38</v>
      </c>
      <c r="W766">
        <v>0</v>
      </c>
      <c r="X766">
        <v>0</v>
      </c>
      <c r="Y766">
        <f t="shared" si="56"/>
        <v>0</v>
      </c>
      <c r="Z766">
        <f t="shared" si="57"/>
        <v>69.441599999999994</v>
      </c>
      <c r="AA766">
        <f t="shared" si="58"/>
        <v>69.441599999999994</v>
      </c>
      <c r="AB766">
        <f t="shared" si="59"/>
        <v>1678.403472</v>
      </c>
    </row>
    <row r="767" spans="1:28" ht="25.5" x14ac:dyDescent="0.25">
      <c r="A767" s="7">
        <v>766</v>
      </c>
      <c r="B767" s="7" t="s">
        <v>15</v>
      </c>
      <c r="C767" s="7" t="s">
        <v>113</v>
      </c>
      <c r="D767" s="7" t="s">
        <v>863</v>
      </c>
      <c r="E767" s="7"/>
      <c r="F767" s="8"/>
      <c r="G767" s="7" t="s">
        <v>863</v>
      </c>
      <c r="H767" s="9">
        <v>33.855265000000003</v>
      </c>
      <c r="I767" s="9">
        <v>7.853415</v>
      </c>
      <c r="J767" s="7" t="s">
        <v>115</v>
      </c>
      <c r="K767" s="7" t="s">
        <v>37</v>
      </c>
      <c r="L767" s="7"/>
      <c r="M767" s="10">
        <v>13.29</v>
      </c>
      <c r="N767" s="7" t="s">
        <v>62</v>
      </c>
      <c r="O767" s="7"/>
      <c r="P767" s="8" t="s">
        <v>39</v>
      </c>
      <c r="Q767">
        <v>2.02</v>
      </c>
      <c r="R767">
        <v>15.4</v>
      </c>
      <c r="S767" t="s">
        <v>53</v>
      </c>
      <c r="T767">
        <v>7</v>
      </c>
      <c r="U767">
        <f t="shared" si="55"/>
        <v>14.14</v>
      </c>
      <c r="V767">
        <v>1.26</v>
      </c>
      <c r="W767">
        <v>160</v>
      </c>
      <c r="X767">
        <v>0.35</v>
      </c>
      <c r="Y767">
        <f t="shared" si="56"/>
        <v>56</v>
      </c>
      <c r="Z767">
        <f t="shared" si="57"/>
        <v>17.816400000000002</v>
      </c>
      <c r="AA767">
        <f t="shared" si="58"/>
        <v>0</v>
      </c>
      <c r="AB767">
        <f t="shared" si="59"/>
        <v>0</v>
      </c>
    </row>
    <row r="768" spans="1:28" ht="25.5" x14ac:dyDescent="0.25">
      <c r="A768" s="7">
        <v>767</v>
      </c>
      <c r="B768" s="7" t="s">
        <v>15</v>
      </c>
      <c r="C768" s="7" t="s">
        <v>116</v>
      </c>
      <c r="D768" s="7" t="s">
        <v>864</v>
      </c>
      <c r="E768" s="7"/>
      <c r="F768" s="8"/>
      <c r="G768" s="7" t="s">
        <v>864</v>
      </c>
      <c r="H768" s="9">
        <v>36.861784999999998</v>
      </c>
      <c r="I768" s="9">
        <v>10.301536</v>
      </c>
      <c r="J768" s="7" t="s">
        <v>118</v>
      </c>
      <c r="K768" s="7" t="s">
        <v>37</v>
      </c>
      <c r="L768" s="7"/>
      <c r="M768" s="10">
        <v>2.94</v>
      </c>
      <c r="N768" s="7" t="s">
        <v>66</v>
      </c>
      <c r="O768" s="7"/>
      <c r="P768" s="8" t="s">
        <v>39</v>
      </c>
      <c r="Q768">
        <v>2.59</v>
      </c>
      <c r="R768">
        <v>26.5</v>
      </c>
      <c r="S768" t="s">
        <v>58</v>
      </c>
      <c r="T768">
        <v>10</v>
      </c>
      <c r="U768">
        <f t="shared" si="55"/>
        <v>25.9</v>
      </c>
      <c r="V768">
        <v>0.72</v>
      </c>
      <c r="W768">
        <v>0</v>
      </c>
      <c r="X768">
        <v>0</v>
      </c>
      <c r="Y768">
        <f t="shared" si="56"/>
        <v>0</v>
      </c>
      <c r="Z768">
        <f t="shared" si="57"/>
        <v>18.648</v>
      </c>
      <c r="AA768">
        <f t="shared" si="58"/>
        <v>18.648</v>
      </c>
      <c r="AB768">
        <f t="shared" si="59"/>
        <v>54.825119999999998</v>
      </c>
    </row>
    <row r="769" spans="1:28" ht="25.5" x14ac:dyDescent="0.25">
      <c r="A769" s="7">
        <v>768</v>
      </c>
      <c r="B769" s="7" t="s">
        <v>15</v>
      </c>
      <c r="C769" s="7" t="s">
        <v>119</v>
      </c>
      <c r="D769" s="7" t="s">
        <v>865</v>
      </c>
      <c r="E769" s="7"/>
      <c r="F769" s="8"/>
      <c r="G769" s="7" t="s">
        <v>865</v>
      </c>
      <c r="H769" s="9">
        <v>36.375762999999999</v>
      </c>
      <c r="I769" s="9">
        <v>9.6079779999999992</v>
      </c>
      <c r="J769" s="7" t="s">
        <v>121</v>
      </c>
      <c r="K769" s="7" t="s">
        <v>37</v>
      </c>
      <c r="L769" s="7"/>
      <c r="M769" s="10">
        <v>9.7899999999999991</v>
      </c>
      <c r="N769" s="7" t="s">
        <v>70</v>
      </c>
      <c r="O769" s="7"/>
      <c r="P769" s="8" t="s">
        <v>39</v>
      </c>
      <c r="Q769">
        <v>2.5099999999999998</v>
      </c>
      <c r="R769">
        <v>11.3</v>
      </c>
      <c r="S769" t="s">
        <v>91</v>
      </c>
      <c r="T769">
        <v>9</v>
      </c>
      <c r="U769">
        <f t="shared" si="55"/>
        <v>22.589999999999996</v>
      </c>
      <c r="V769">
        <v>1.22</v>
      </c>
      <c r="W769">
        <v>80</v>
      </c>
      <c r="X769">
        <v>0.35</v>
      </c>
      <c r="Y769">
        <f t="shared" si="56"/>
        <v>28</v>
      </c>
      <c r="Z769">
        <f t="shared" si="57"/>
        <v>27.559799999999996</v>
      </c>
      <c r="AA769">
        <f t="shared" si="58"/>
        <v>0</v>
      </c>
      <c r="AB769">
        <f t="shared" si="59"/>
        <v>0</v>
      </c>
    </row>
    <row r="770" spans="1:28" ht="25.5" x14ac:dyDescent="0.25">
      <c r="A770" s="7">
        <v>769</v>
      </c>
      <c r="B770" s="7" t="s">
        <v>15</v>
      </c>
      <c r="C770" s="7" t="s">
        <v>34</v>
      </c>
      <c r="D770" s="7" t="s">
        <v>866</v>
      </c>
      <c r="E770" s="7"/>
      <c r="F770" s="8"/>
      <c r="G770" s="7" t="s">
        <v>866</v>
      </c>
      <c r="H770" s="9">
        <v>36.899419999999999</v>
      </c>
      <c r="I770" s="9">
        <v>10.205158000000001</v>
      </c>
      <c r="J770" s="7" t="s">
        <v>36</v>
      </c>
      <c r="K770" s="7" t="s">
        <v>37</v>
      </c>
      <c r="L770" s="7"/>
      <c r="M770" s="10">
        <v>13.85</v>
      </c>
      <c r="N770" s="7" t="s">
        <v>74</v>
      </c>
      <c r="O770" s="7"/>
      <c r="P770" s="8" t="s">
        <v>39</v>
      </c>
      <c r="Q770">
        <v>5.1100000000000003</v>
      </c>
      <c r="R770">
        <v>24.1</v>
      </c>
      <c r="S770" t="s">
        <v>53</v>
      </c>
      <c r="T770">
        <v>10</v>
      </c>
      <c r="U770">
        <f t="shared" ref="U770:U833" si="60">Q770*T770</f>
        <v>51.1</v>
      </c>
      <c r="V770">
        <v>1.03</v>
      </c>
      <c r="W770">
        <v>0</v>
      </c>
      <c r="X770">
        <v>0</v>
      </c>
      <c r="Y770">
        <f t="shared" ref="Y770:Y833" si="61">W770*X770</f>
        <v>0</v>
      </c>
      <c r="Z770">
        <f t="shared" ref="Z770:Z833" si="62">U770*V770</f>
        <v>52.633000000000003</v>
      </c>
      <c r="AA770">
        <f t="shared" ref="AA770:AA833" si="63">MAX(0,Z770-Y770)</f>
        <v>52.633000000000003</v>
      </c>
      <c r="AB770">
        <f t="shared" si="59"/>
        <v>728.96704999999997</v>
      </c>
    </row>
    <row r="771" spans="1:28" ht="25.5" x14ac:dyDescent="0.25">
      <c r="A771" s="7">
        <v>770</v>
      </c>
      <c r="B771" s="7" t="s">
        <v>15</v>
      </c>
      <c r="C771" s="7" t="s">
        <v>41</v>
      </c>
      <c r="D771" s="7" t="s">
        <v>867</v>
      </c>
      <c r="E771" s="7"/>
      <c r="F771" s="8"/>
      <c r="G771" s="7" t="s">
        <v>867</v>
      </c>
      <c r="H771" s="9">
        <v>36.669468000000002</v>
      </c>
      <c r="I771" s="9">
        <v>9.6256249999999994</v>
      </c>
      <c r="J771" s="7" t="s">
        <v>43</v>
      </c>
      <c r="K771" s="7" t="s">
        <v>37</v>
      </c>
      <c r="L771" s="7"/>
      <c r="M771" s="10">
        <v>17.27</v>
      </c>
      <c r="N771" s="7" t="s">
        <v>78</v>
      </c>
      <c r="O771" s="7"/>
      <c r="P771" s="8" t="s">
        <v>39</v>
      </c>
      <c r="Q771">
        <v>4.3499999999999996</v>
      </c>
      <c r="R771">
        <v>20.3</v>
      </c>
      <c r="S771" t="s">
        <v>53</v>
      </c>
      <c r="T771">
        <v>14</v>
      </c>
      <c r="U771">
        <f t="shared" si="60"/>
        <v>60.899999999999991</v>
      </c>
      <c r="V771">
        <v>1.1499999999999999</v>
      </c>
      <c r="W771">
        <v>50</v>
      </c>
      <c r="X771">
        <v>0.35</v>
      </c>
      <c r="Y771">
        <f t="shared" si="61"/>
        <v>17.5</v>
      </c>
      <c r="Z771">
        <f t="shared" si="62"/>
        <v>70.034999999999982</v>
      </c>
      <c r="AA771">
        <f t="shared" si="63"/>
        <v>52.534999999999982</v>
      </c>
      <c r="AB771">
        <f t="shared" ref="AB771:AB834" si="64">AA771*M771</f>
        <v>907.27944999999966</v>
      </c>
    </row>
    <row r="772" spans="1:28" ht="25.5" x14ac:dyDescent="0.25">
      <c r="A772" s="7">
        <v>771</v>
      </c>
      <c r="B772" s="7" t="s">
        <v>15</v>
      </c>
      <c r="C772" s="7" t="s">
        <v>45</v>
      </c>
      <c r="D772" s="7" t="s">
        <v>868</v>
      </c>
      <c r="E772" s="7"/>
      <c r="F772" s="8"/>
      <c r="G772" s="7" t="s">
        <v>868</v>
      </c>
      <c r="H772" s="9">
        <v>36.611733000000001</v>
      </c>
      <c r="I772" s="9">
        <v>10.318076</v>
      </c>
      <c r="J772" s="7" t="s">
        <v>47</v>
      </c>
      <c r="K772" s="7" t="s">
        <v>37</v>
      </c>
      <c r="L772" s="7"/>
      <c r="M772" s="10">
        <v>8.56</v>
      </c>
      <c r="N772" s="7" t="s">
        <v>38</v>
      </c>
      <c r="O772" s="7"/>
      <c r="P772" s="8" t="s">
        <v>39</v>
      </c>
      <c r="Q772">
        <v>5.2</v>
      </c>
      <c r="R772">
        <v>11.8</v>
      </c>
      <c r="S772" t="s">
        <v>91</v>
      </c>
      <c r="T772">
        <v>18</v>
      </c>
      <c r="U772">
        <f t="shared" si="60"/>
        <v>93.600000000000009</v>
      </c>
      <c r="V772">
        <v>1.35</v>
      </c>
      <c r="W772">
        <v>0</v>
      </c>
      <c r="X772">
        <v>0</v>
      </c>
      <c r="Y772">
        <f t="shared" si="61"/>
        <v>0</v>
      </c>
      <c r="Z772">
        <f t="shared" si="62"/>
        <v>126.36000000000001</v>
      </c>
      <c r="AA772">
        <f t="shared" si="63"/>
        <v>126.36000000000001</v>
      </c>
      <c r="AB772">
        <f t="shared" si="64"/>
        <v>1081.6416000000002</v>
      </c>
    </row>
    <row r="773" spans="1:28" ht="25.5" x14ac:dyDescent="0.25">
      <c r="A773" s="7">
        <v>772</v>
      </c>
      <c r="B773" s="7" t="s">
        <v>15</v>
      </c>
      <c r="C773" s="7" t="s">
        <v>49</v>
      </c>
      <c r="D773" s="7" t="s">
        <v>869</v>
      </c>
      <c r="E773" s="7"/>
      <c r="F773" s="8"/>
      <c r="G773" s="7" t="s">
        <v>869</v>
      </c>
      <c r="H773" s="9">
        <v>37.153604000000001</v>
      </c>
      <c r="I773" s="9">
        <v>9.7795909999999999</v>
      </c>
      <c r="J773" s="7" t="s">
        <v>51</v>
      </c>
      <c r="K773" s="7" t="s">
        <v>37</v>
      </c>
      <c r="L773" s="7"/>
      <c r="M773" s="10">
        <v>22.38</v>
      </c>
      <c r="N773" s="7" t="s">
        <v>44</v>
      </c>
      <c r="O773" s="7"/>
      <c r="P773" s="8" t="s">
        <v>39</v>
      </c>
      <c r="Q773">
        <v>4.8099999999999996</v>
      </c>
      <c r="R773">
        <v>42.3</v>
      </c>
      <c r="S773" t="s">
        <v>40</v>
      </c>
      <c r="T773">
        <v>18</v>
      </c>
      <c r="U773">
        <f t="shared" si="60"/>
        <v>86.58</v>
      </c>
      <c r="V773">
        <v>0.6</v>
      </c>
      <c r="W773">
        <v>0</v>
      </c>
      <c r="X773">
        <v>0</v>
      </c>
      <c r="Y773">
        <f t="shared" si="61"/>
        <v>0</v>
      </c>
      <c r="Z773">
        <f t="shared" si="62"/>
        <v>51.948</v>
      </c>
      <c r="AA773">
        <f t="shared" si="63"/>
        <v>51.948</v>
      </c>
      <c r="AB773">
        <f t="shared" si="64"/>
        <v>1162.5962399999999</v>
      </c>
    </row>
    <row r="774" spans="1:28" ht="25.5" x14ac:dyDescent="0.25">
      <c r="A774" s="7">
        <v>773</v>
      </c>
      <c r="B774" s="7" t="s">
        <v>15</v>
      </c>
      <c r="C774" s="7" t="s">
        <v>54</v>
      </c>
      <c r="D774" s="7" t="s">
        <v>870</v>
      </c>
      <c r="E774" s="7"/>
      <c r="F774" s="8"/>
      <c r="G774" s="7" t="s">
        <v>870</v>
      </c>
      <c r="H774" s="9">
        <v>33.616208999999998</v>
      </c>
      <c r="I774" s="9">
        <v>10.304358000000001</v>
      </c>
      <c r="J774" s="7" t="s">
        <v>56</v>
      </c>
      <c r="K774" s="7" t="s">
        <v>37</v>
      </c>
      <c r="L774" s="7"/>
      <c r="M774" s="10">
        <v>5.9</v>
      </c>
      <c r="N774" s="7" t="s">
        <v>48</v>
      </c>
      <c r="O774" s="7"/>
      <c r="P774" s="8" t="s">
        <v>39</v>
      </c>
      <c r="Q774">
        <v>5.91</v>
      </c>
      <c r="R774">
        <v>15.5</v>
      </c>
      <c r="S774" t="s">
        <v>53</v>
      </c>
      <c r="T774">
        <v>16</v>
      </c>
      <c r="U774">
        <f t="shared" si="60"/>
        <v>94.56</v>
      </c>
      <c r="V774">
        <v>1.03</v>
      </c>
      <c r="W774">
        <v>0</v>
      </c>
      <c r="X774">
        <v>0</v>
      </c>
      <c r="Y774">
        <f t="shared" si="61"/>
        <v>0</v>
      </c>
      <c r="Z774">
        <f t="shared" si="62"/>
        <v>97.396799999999999</v>
      </c>
      <c r="AA774">
        <f t="shared" si="63"/>
        <v>97.396799999999999</v>
      </c>
      <c r="AB774">
        <f t="shared" si="64"/>
        <v>574.64112</v>
      </c>
    </row>
    <row r="775" spans="1:28" ht="25.5" x14ac:dyDescent="0.25">
      <c r="A775" s="7">
        <v>774</v>
      </c>
      <c r="B775" s="7" t="s">
        <v>15</v>
      </c>
      <c r="C775" s="7" t="s">
        <v>59</v>
      </c>
      <c r="D775" s="7" t="s">
        <v>871</v>
      </c>
      <c r="E775" s="7"/>
      <c r="F775" s="8"/>
      <c r="G775" s="7" t="s">
        <v>871</v>
      </c>
      <c r="H775" s="9">
        <v>34.346496999999999</v>
      </c>
      <c r="I775" s="9">
        <v>8.4055160000000004</v>
      </c>
      <c r="J775" s="7" t="s">
        <v>61</v>
      </c>
      <c r="K775" s="7" t="s">
        <v>37</v>
      </c>
      <c r="L775" s="7"/>
      <c r="M775" s="10">
        <v>15.59</v>
      </c>
      <c r="N775" s="7" t="s">
        <v>52</v>
      </c>
      <c r="O775" s="7"/>
      <c r="P775" s="8" t="s">
        <v>39</v>
      </c>
      <c r="Q775">
        <v>2.94</v>
      </c>
      <c r="R775">
        <v>42.7</v>
      </c>
      <c r="S775" t="s">
        <v>40</v>
      </c>
      <c r="T775">
        <v>12</v>
      </c>
      <c r="U775">
        <f t="shared" si="60"/>
        <v>35.28</v>
      </c>
      <c r="V775">
        <v>0.66</v>
      </c>
      <c r="W775">
        <v>80</v>
      </c>
      <c r="X775">
        <v>0.35</v>
      </c>
      <c r="Y775">
        <f t="shared" si="61"/>
        <v>28</v>
      </c>
      <c r="Z775">
        <f t="shared" si="62"/>
        <v>23.284800000000001</v>
      </c>
      <c r="AA775">
        <f t="shared" si="63"/>
        <v>0</v>
      </c>
      <c r="AB775">
        <f t="shared" si="64"/>
        <v>0</v>
      </c>
    </row>
    <row r="776" spans="1:28" ht="25.5" x14ac:dyDescent="0.25">
      <c r="A776" s="7">
        <v>775</v>
      </c>
      <c r="B776" s="7" t="s">
        <v>15</v>
      </c>
      <c r="C776" s="7" t="s">
        <v>63</v>
      </c>
      <c r="D776" s="7" t="s">
        <v>872</v>
      </c>
      <c r="E776" s="7"/>
      <c r="F776" s="8"/>
      <c r="G776" s="7" t="s">
        <v>872</v>
      </c>
      <c r="H776" s="9">
        <v>36.933759999999999</v>
      </c>
      <c r="I776" s="9">
        <v>8.7499760000000002</v>
      </c>
      <c r="J776" s="7" t="s">
        <v>65</v>
      </c>
      <c r="K776" s="7" t="s">
        <v>37</v>
      </c>
      <c r="L776" s="7"/>
      <c r="M776" s="10">
        <v>11.57</v>
      </c>
      <c r="N776" s="7" t="s">
        <v>57</v>
      </c>
      <c r="O776" s="7"/>
      <c r="P776" s="8" t="s">
        <v>39</v>
      </c>
      <c r="Q776">
        <v>2.0499999999999998</v>
      </c>
      <c r="R776">
        <v>23.8</v>
      </c>
      <c r="S776" t="s">
        <v>53</v>
      </c>
      <c r="T776">
        <v>8</v>
      </c>
      <c r="U776">
        <f t="shared" si="60"/>
        <v>16.399999999999999</v>
      </c>
      <c r="V776">
        <v>1.38</v>
      </c>
      <c r="W776">
        <v>80</v>
      </c>
      <c r="X776">
        <v>0.35</v>
      </c>
      <c r="Y776">
        <f t="shared" si="61"/>
        <v>28</v>
      </c>
      <c r="Z776">
        <f t="shared" si="62"/>
        <v>22.631999999999998</v>
      </c>
      <c r="AA776">
        <f t="shared" si="63"/>
        <v>0</v>
      </c>
      <c r="AB776">
        <f t="shared" si="64"/>
        <v>0</v>
      </c>
    </row>
    <row r="777" spans="1:28" ht="25.5" x14ac:dyDescent="0.25">
      <c r="A777" s="7">
        <v>776</v>
      </c>
      <c r="B777" s="7" t="s">
        <v>15</v>
      </c>
      <c r="C777" s="7" t="s">
        <v>67</v>
      </c>
      <c r="D777" s="7" t="s">
        <v>873</v>
      </c>
      <c r="E777" s="7"/>
      <c r="F777" s="8"/>
      <c r="G777" s="7" t="s">
        <v>873</v>
      </c>
      <c r="H777" s="9">
        <v>35.621571000000003</v>
      </c>
      <c r="I777" s="9">
        <v>9.9257729999999995</v>
      </c>
      <c r="J777" s="7" t="s">
        <v>69</v>
      </c>
      <c r="K777" s="7" t="s">
        <v>37</v>
      </c>
      <c r="L777" s="7"/>
      <c r="M777" s="10">
        <v>23</v>
      </c>
      <c r="N777" s="7" t="s">
        <v>62</v>
      </c>
      <c r="O777" s="7"/>
      <c r="P777" s="8" t="s">
        <v>39</v>
      </c>
      <c r="Q777">
        <v>5.78</v>
      </c>
      <c r="R777">
        <v>23.4</v>
      </c>
      <c r="S777" t="s">
        <v>53</v>
      </c>
      <c r="T777">
        <v>7</v>
      </c>
      <c r="U777">
        <f t="shared" si="60"/>
        <v>40.46</v>
      </c>
      <c r="V777">
        <v>1.26</v>
      </c>
      <c r="W777">
        <v>0</v>
      </c>
      <c r="X777">
        <v>0</v>
      </c>
      <c r="Y777">
        <f t="shared" si="61"/>
        <v>0</v>
      </c>
      <c r="Z777">
        <f t="shared" si="62"/>
        <v>50.979600000000005</v>
      </c>
      <c r="AA777">
        <f t="shared" si="63"/>
        <v>50.979600000000005</v>
      </c>
      <c r="AB777">
        <f t="shared" si="64"/>
        <v>1172.5308</v>
      </c>
    </row>
    <row r="778" spans="1:28" ht="25.5" x14ac:dyDescent="0.25">
      <c r="A778" s="7">
        <v>777</v>
      </c>
      <c r="B778" s="7" t="s">
        <v>15</v>
      </c>
      <c r="C778" s="7" t="s">
        <v>71</v>
      </c>
      <c r="D778" s="7" t="s">
        <v>874</v>
      </c>
      <c r="E778" s="7"/>
      <c r="F778" s="8"/>
      <c r="G778" s="7" t="s">
        <v>874</v>
      </c>
      <c r="H778" s="9">
        <v>35.238919000000003</v>
      </c>
      <c r="I778" s="9">
        <v>9.1355690000000003</v>
      </c>
      <c r="J778" s="7" t="s">
        <v>73</v>
      </c>
      <c r="K778" s="7" t="s">
        <v>37</v>
      </c>
      <c r="L778" s="7"/>
      <c r="M778" s="10">
        <v>22.58</v>
      </c>
      <c r="N778" s="7" t="s">
        <v>66</v>
      </c>
      <c r="O778" s="7"/>
      <c r="P778" s="8" t="s">
        <v>39</v>
      </c>
      <c r="Q778">
        <v>2.65</v>
      </c>
      <c r="R778">
        <v>24.9</v>
      </c>
      <c r="S778" t="s">
        <v>53</v>
      </c>
      <c r="T778">
        <v>10</v>
      </c>
      <c r="U778">
        <f t="shared" si="60"/>
        <v>26.5</v>
      </c>
      <c r="V778">
        <v>0.92</v>
      </c>
      <c r="W778">
        <v>160</v>
      </c>
      <c r="X778">
        <v>0.35</v>
      </c>
      <c r="Y778">
        <f t="shared" si="61"/>
        <v>56</v>
      </c>
      <c r="Z778">
        <f t="shared" si="62"/>
        <v>24.380000000000003</v>
      </c>
      <c r="AA778">
        <f t="shared" si="63"/>
        <v>0</v>
      </c>
      <c r="AB778">
        <f t="shared" si="64"/>
        <v>0</v>
      </c>
    </row>
    <row r="779" spans="1:28" ht="25.5" x14ac:dyDescent="0.25">
      <c r="A779" s="7">
        <v>778</v>
      </c>
      <c r="B779" s="7" t="s">
        <v>15</v>
      </c>
      <c r="C779" s="7" t="s">
        <v>75</v>
      </c>
      <c r="D779" s="7" t="s">
        <v>875</v>
      </c>
      <c r="E779" s="7"/>
      <c r="F779" s="8"/>
      <c r="G779" s="7" t="s">
        <v>875</v>
      </c>
      <c r="H779" s="9">
        <v>33.452770000000001</v>
      </c>
      <c r="I779" s="9">
        <v>9.0307390000000005</v>
      </c>
      <c r="J779" s="7" t="s">
        <v>77</v>
      </c>
      <c r="K779" s="7" t="s">
        <v>37</v>
      </c>
      <c r="L779" s="7"/>
      <c r="M779" s="10">
        <v>24.69</v>
      </c>
      <c r="N779" s="7" t="s">
        <v>70</v>
      </c>
      <c r="O779" s="7"/>
      <c r="P779" s="8" t="s">
        <v>39</v>
      </c>
      <c r="Q779">
        <v>6.37</v>
      </c>
      <c r="R779">
        <v>10.5</v>
      </c>
      <c r="S779" t="s">
        <v>91</v>
      </c>
      <c r="T779">
        <v>9</v>
      </c>
      <c r="U779">
        <f t="shared" si="60"/>
        <v>57.33</v>
      </c>
      <c r="V779">
        <v>1.22</v>
      </c>
      <c r="W779">
        <v>0</v>
      </c>
      <c r="X779">
        <v>0</v>
      </c>
      <c r="Y779">
        <f t="shared" si="61"/>
        <v>0</v>
      </c>
      <c r="Z779">
        <f t="shared" si="62"/>
        <v>69.942599999999999</v>
      </c>
      <c r="AA779">
        <f t="shared" si="63"/>
        <v>69.942599999999999</v>
      </c>
      <c r="AB779">
        <f t="shared" si="64"/>
        <v>1726.8827940000001</v>
      </c>
    </row>
    <row r="780" spans="1:28" ht="25.5" x14ac:dyDescent="0.25">
      <c r="A780" s="7">
        <v>779</v>
      </c>
      <c r="B780" s="7" t="s">
        <v>15</v>
      </c>
      <c r="C780" s="7" t="s">
        <v>79</v>
      </c>
      <c r="D780" s="7" t="s">
        <v>876</v>
      </c>
      <c r="E780" s="7"/>
      <c r="F780" s="8"/>
      <c r="G780" s="7" t="s">
        <v>876</v>
      </c>
      <c r="H780" s="9">
        <v>35.910744999999999</v>
      </c>
      <c r="I780" s="9">
        <v>8.8357690000000009</v>
      </c>
      <c r="J780" s="7" t="s">
        <v>81</v>
      </c>
      <c r="K780" s="7" t="s">
        <v>37</v>
      </c>
      <c r="L780" s="7"/>
      <c r="M780" s="10">
        <v>0.55000000000000004</v>
      </c>
      <c r="N780" s="7" t="s">
        <v>74</v>
      </c>
      <c r="O780" s="7"/>
      <c r="P780" s="8" t="s">
        <v>39</v>
      </c>
      <c r="Q780">
        <v>3.09</v>
      </c>
      <c r="R780">
        <v>11.4</v>
      </c>
      <c r="S780" t="s">
        <v>91</v>
      </c>
      <c r="T780">
        <v>10</v>
      </c>
      <c r="U780">
        <f t="shared" si="60"/>
        <v>30.9</v>
      </c>
      <c r="V780">
        <v>1.22</v>
      </c>
      <c r="W780">
        <v>50</v>
      </c>
      <c r="X780">
        <v>0.35</v>
      </c>
      <c r="Y780">
        <f t="shared" si="61"/>
        <v>17.5</v>
      </c>
      <c r="Z780">
        <f t="shared" si="62"/>
        <v>37.698</v>
      </c>
      <c r="AA780">
        <f t="shared" si="63"/>
        <v>20.198</v>
      </c>
      <c r="AB780">
        <f t="shared" si="64"/>
        <v>11.108900000000002</v>
      </c>
    </row>
    <row r="781" spans="1:28" ht="25.5" x14ac:dyDescent="0.25">
      <c r="A781" s="7">
        <v>780</v>
      </c>
      <c r="B781" s="7" t="s">
        <v>15</v>
      </c>
      <c r="C781" s="7" t="s">
        <v>82</v>
      </c>
      <c r="D781" s="7" t="s">
        <v>877</v>
      </c>
      <c r="E781" s="7"/>
      <c r="F781" s="8"/>
      <c r="G781" s="7" t="s">
        <v>877</v>
      </c>
      <c r="H781" s="9">
        <v>35.228181999999997</v>
      </c>
      <c r="I781" s="9">
        <v>11.111407</v>
      </c>
      <c r="J781" s="7" t="s">
        <v>84</v>
      </c>
      <c r="K781" s="7" t="s">
        <v>37</v>
      </c>
      <c r="L781" s="7"/>
      <c r="M781" s="10">
        <v>9.51</v>
      </c>
      <c r="N781" s="7" t="s">
        <v>78</v>
      </c>
      <c r="O781" s="7"/>
      <c r="P781" s="8" t="s">
        <v>39</v>
      </c>
      <c r="Q781">
        <v>2.41</v>
      </c>
      <c r="R781">
        <v>11.4</v>
      </c>
      <c r="S781" t="s">
        <v>91</v>
      </c>
      <c r="T781">
        <v>14</v>
      </c>
      <c r="U781">
        <f t="shared" si="60"/>
        <v>33.74</v>
      </c>
      <c r="V781">
        <v>1.35</v>
      </c>
      <c r="W781">
        <v>120</v>
      </c>
      <c r="X781">
        <v>0.35</v>
      </c>
      <c r="Y781">
        <f t="shared" si="61"/>
        <v>42</v>
      </c>
      <c r="Z781">
        <f t="shared" si="62"/>
        <v>45.549000000000007</v>
      </c>
      <c r="AA781">
        <f t="shared" si="63"/>
        <v>3.5490000000000066</v>
      </c>
      <c r="AB781">
        <f t="shared" si="64"/>
        <v>33.750990000000058</v>
      </c>
    </row>
    <row r="782" spans="1:28" ht="25.5" x14ac:dyDescent="0.25">
      <c r="A782" s="7">
        <v>781</v>
      </c>
      <c r="B782" s="7" t="s">
        <v>15</v>
      </c>
      <c r="C782" s="7" t="s">
        <v>85</v>
      </c>
      <c r="D782" s="7" t="s">
        <v>878</v>
      </c>
      <c r="E782" s="7"/>
      <c r="F782" s="8"/>
      <c r="G782" s="7" t="s">
        <v>878</v>
      </c>
      <c r="H782" s="9">
        <v>36.842323</v>
      </c>
      <c r="I782" s="9">
        <v>9.8454680000000003</v>
      </c>
      <c r="J782" s="7" t="s">
        <v>87</v>
      </c>
      <c r="K782" s="7" t="s">
        <v>37</v>
      </c>
      <c r="L782" s="7"/>
      <c r="M782" s="10">
        <v>10.81</v>
      </c>
      <c r="N782" s="7" t="s">
        <v>38</v>
      </c>
      <c r="O782" s="7"/>
      <c r="P782" s="8" t="s">
        <v>39</v>
      </c>
      <c r="Q782">
        <v>3.85</v>
      </c>
      <c r="R782">
        <v>10</v>
      </c>
      <c r="S782" t="s">
        <v>91</v>
      </c>
      <c r="T782">
        <v>18</v>
      </c>
      <c r="U782">
        <f t="shared" si="60"/>
        <v>69.3</v>
      </c>
      <c r="V782">
        <v>1.35</v>
      </c>
      <c r="W782">
        <v>0</v>
      </c>
      <c r="X782">
        <v>0</v>
      </c>
      <c r="Y782">
        <f t="shared" si="61"/>
        <v>0</v>
      </c>
      <c r="Z782">
        <f t="shared" si="62"/>
        <v>93.555000000000007</v>
      </c>
      <c r="AA782">
        <f t="shared" si="63"/>
        <v>93.555000000000007</v>
      </c>
      <c r="AB782">
        <f t="shared" si="64"/>
        <v>1011.3295500000002</v>
      </c>
    </row>
    <row r="783" spans="1:28" ht="25.5" x14ac:dyDescent="0.25">
      <c r="A783" s="7">
        <v>782</v>
      </c>
      <c r="B783" s="7" t="s">
        <v>15</v>
      </c>
      <c r="C783" s="7" t="s">
        <v>88</v>
      </c>
      <c r="D783" s="7" t="s">
        <v>879</v>
      </c>
      <c r="E783" s="7"/>
      <c r="F783" s="8"/>
      <c r="G783" s="7" t="s">
        <v>879</v>
      </c>
      <c r="H783" s="9">
        <v>33.786329000000002</v>
      </c>
      <c r="I783" s="9">
        <v>11.014198</v>
      </c>
      <c r="J783" s="7" t="s">
        <v>90</v>
      </c>
      <c r="K783" s="7" t="s">
        <v>37</v>
      </c>
      <c r="L783" s="7"/>
      <c r="M783" s="10">
        <v>24.04</v>
      </c>
      <c r="N783" s="7" t="s">
        <v>44</v>
      </c>
      <c r="O783" s="7"/>
      <c r="P783" s="8" t="s">
        <v>39</v>
      </c>
      <c r="Q783">
        <v>5.99</v>
      </c>
      <c r="R783">
        <v>39.4</v>
      </c>
      <c r="S783" t="s">
        <v>40</v>
      </c>
      <c r="T783">
        <v>18</v>
      </c>
      <c r="U783">
        <f t="shared" si="60"/>
        <v>107.82000000000001</v>
      </c>
      <c r="V783">
        <v>0.6</v>
      </c>
      <c r="W783">
        <v>0</v>
      </c>
      <c r="X783">
        <v>0</v>
      </c>
      <c r="Y783">
        <f t="shared" si="61"/>
        <v>0</v>
      </c>
      <c r="Z783">
        <f t="shared" si="62"/>
        <v>64.692000000000007</v>
      </c>
      <c r="AA783">
        <f t="shared" si="63"/>
        <v>64.692000000000007</v>
      </c>
      <c r="AB783">
        <f t="shared" si="64"/>
        <v>1555.19568</v>
      </c>
    </row>
    <row r="784" spans="1:28" ht="25.5" x14ac:dyDescent="0.25">
      <c r="A784" s="7">
        <v>783</v>
      </c>
      <c r="B784" s="7" t="s">
        <v>15</v>
      </c>
      <c r="C784" s="7" t="s">
        <v>92</v>
      </c>
      <c r="D784" s="7" t="s">
        <v>880</v>
      </c>
      <c r="E784" s="7"/>
      <c r="F784" s="8"/>
      <c r="G784" s="7" t="s">
        <v>880</v>
      </c>
      <c r="H784" s="9">
        <v>35.61797</v>
      </c>
      <c r="I784" s="9">
        <v>10.761855000000001</v>
      </c>
      <c r="J784" s="7" t="s">
        <v>94</v>
      </c>
      <c r="K784" s="7" t="s">
        <v>37</v>
      </c>
      <c r="L784" s="7"/>
      <c r="M784" s="10">
        <v>14.9</v>
      </c>
      <c r="N784" s="7" t="s">
        <v>48</v>
      </c>
      <c r="O784" s="7"/>
      <c r="P784" s="8" t="s">
        <v>39</v>
      </c>
      <c r="Q784">
        <v>3.32</v>
      </c>
      <c r="R784">
        <v>24.3</v>
      </c>
      <c r="S784" t="s">
        <v>53</v>
      </c>
      <c r="T784">
        <v>16</v>
      </c>
      <c r="U784">
        <f t="shared" si="60"/>
        <v>53.12</v>
      </c>
      <c r="V784">
        <v>1.03</v>
      </c>
      <c r="W784">
        <v>50</v>
      </c>
      <c r="X784">
        <v>0.35</v>
      </c>
      <c r="Y784">
        <f t="shared" si="61"/>
        <v>17.5</v>
      </c>
      <c r="Z784">
        <f t="shared" si="62"/>
        <v>54.7136</v>
      </c>
      <c r="AA784">
        <f t="shared" si="63"/>
        <v>37.2136</v>
      </c>
      <c r="AB784">
        <f t="shared" si="64"/>
        <v>554.48264000000006</v>
      </c>
    </row>
    <row r="785" spans="1:28" ht="25.5" x14ac:dyDescent="0.25">
      <c r="A785" s="7">
        <v>784</v>
      </c>
      <c r="B785" s="7" t="s">
        <v>15</v>
      </c>
      <c r="C785" s="7" t="s">
        <v>95</v>
      </c>
      <c r="D785" s="7" t="s">
        <v>881</v>
      </c>
      <c r="E785" s="7"/>
      <c r="F785" s="8"/>
      <c r="G785" s="7" t="s">
        <v>881</v>
      </c>
      <c r="H785" s="9">
        <v>36.569868</v>
      </c>
      <c r="I785" s="9">
        <v>10.873055000000001</v>
      </c>
      <c r="J785" s="7" t="s">
        <v>97</v>
      </c>
      <c r="K785" s="7" t="s">
        <v>37</v>
      </c>
      <c r="L785" s="7"/>
      <c r="M785" s="10">
        <v>24.02</v>
      </c>
      <c r="N785" s="7" t="s">
        <v>52</v>
      </c>
      <c r="O785" s="7"/>
      <c r="P785" s="8" t="s">
        <v>39</v>
      </c>
      <c r="Q785">
        <v>2.12</v>
      </c>
      <c r="R785">
        <v>41.4</v>
      </c>
      <c r="S785" t="s">
        <v>40</v>
      </c>
      <c r="T785">
        <v>12</v>
      </c>
      <c r="U785">
        <f t="shared" si="60"/>
        <v>25.44</v>
      </c>
      <c r="V785">
        <v>0.66</v>
      </c>
      <c r="W785">
        <v>160</v>
      </c>
      <c r="X785">
        <v>0.35</v>
      </c>
      <c r="Y785">
        <f t="shared" si="61"/>
        <v>56</v>
      </c>
      <c r="Z785">
        <f t="shared" si="62"/>
        <v>16.790400000000002</v>
      </c>
      <c r="AA785">
        <f t="shared" si="63"/>
        <v>0</v>
      </c>
      <c r="AB785">
        <f t="shared" si="64"/>
        <v>0</v>
      </c>
    </row>
    <row r="786" spans="1:28" ht="25.5" x14ac:dyDescent="0.25">
      <c r="A786" s="7">
        <v>785</v>
      </c>
      <c r="B786" s="7" t="s">
        <v>15</v>
      </c>
      <c r="C786" s="7" t="s">
        <v>98</v>
      </c>
      <c r="D786" s="7" t="s">
        <v>882</v>
      </c>
      <c r="E786" s="7"/>
      <c r="F786" s="8"/>
      <c r="G786" s="7" t="s">
        <v>882</v>
      </c>
      <c r="H786" s="9">
        <v>34.733916999999998</v>
      </c>
      <c r="I786" s="9">
        <v>10.493765</v>
      </c>
      <c r="J786" s="7" t="s">
        <v>100</v>
      </c>
      <c r="K786" s="7" t="s">
        <v>37</v>
      </c>
      <c r="L786" s="7"/>
      <c r="M786" s="10">
        <v>0.55000000000000004</v>
      </c>
      <c r="N786" s="7" t="s">
        <v>57</v>
      </c>
      <c r="O786" s="7"/>
      <c r="P786" s="8" t="s">
        <v>39</v>
      </c>
      <c r="Q786">
        <v>6.86</v>
      </c>
      <c r="R786">
        <v>36.1</v>
      </c>
      <c r="S786" t="s">
        <v>40</v>
      </c>
      <c r="T786">
        <v>8</v>
      </c>
      <c r="U786">
        <f t="shared" si="60"/>
        <v>54.88</v>
      </c>
      <c r="V786">
        <v>0.72</v>
      </c>
      <c r="W786">
        <v>0</v>
      </c>
      <c r="X786">
        <v>0</v>
      </c>
      <c r="Y786">
        <f t="shared" si="61"/>
        <v>0</v>
      </c>
      <c r="Z786">
        <f t="shared" si="62"/>
        <v>39.513600000000004</v>
      </c>
      <c r="AA786">
        <f t="shared" si="63"/>
        <v>39.513600000000004</v>
      </c>
      <c r="AB786">
        <f t="shared" si="64"/>
        <v>21.732480000000002</v>
      </c>
    </row>
    <row r="787" spans="1:28" ht="25.5" x14ac:dyDescent="0.25">
      <c r="A787" s="7">
        <v>786</v>
      </c>
      <c r="B787" s="7" t="s">
        <v>15</v>
      </c>
      <c r="C787" s="7" t="s">
        <v>101</v>
      </c>
      <c r="D787" s="7" t="s">
        <v>883</v>
      </c>
      <c r="E787" s="7"/>
      <c r="F787" s="8"/>
      <c r="G787" s="7" t="s">
        <v>883</v>
      </c>
      <c r="H787" s="9">
        <v>34.920490000000001</v>
      </c>
      <c r="I787" s="9">
        <v>9.7996809999999996</v>
      </c>
      <c r="J787" s="7" t="s">
        <v>103</v>
      </c>
      <c r="K787" s="7" t="s">
        <v>37</v>
      </c>
      <c r="L787" s="7"/>
      <c r="M787" s="10">
        <v>13.75</v>
      </c>
      <c r="N787" s="7" t="s">
        <v>62</v>
      </c>
      <c r="O787" s="7"/>
      <c r="P787" s="8" t="s">
        <v>39</v>
      </c>
      <c r="Q787">
        <v>6.97</v>
      </c>
      <c r="R787">
        <v>12.5</v>
      </c>
      <c r="S787" t="s">
        <v>91</v>
      </c>
      <c r="T787">
        <v>7</v>
      </c>
      <c r="U787">
        <f t="shared" si="60"/>
        <v>48.79</v>
      </c>
      <c r="V787">
        <v>1.49</v>
      </c>
      <c r="W787">
        <v>0</v>
      </c>
      <c r="X787">
        <v>0</v>
      </c>
      <c r="Y787">
        <f t="shared" si="61"/>
        <v>0</v>
      </c>
      <c r="Z787">
        <f t="shared" si="62"/>
        <v>72.697099999999992</v>
      </c>
      <c r="AA787">
        <f t="shared" si="63"/>
        <v>72.697099999999992</v>
      </c>
      <c r="AB787">
        <f t="shared" si="64"/>
        <v>999.58512499999983</v>
      </c>
    </row>
    <row r="788" spans="1:28" ht="25.5" x14ac:dyDescent="0.25">
      <c r="A788" s="7">
        <v>787</v>
      </c>
      <c r="B788" s="7" t="s">
        <v>15</v>
      </c>
      <c r="C788" s="7" t="s">
        <v>104</v>
      </c>
      <c r="D788" s="7" t="s">
        <v>884</v>
      </c>
      <c r="E788" s="7"/>
      <c r="F788" s="8"/>
      <c r="G788" s="7" t="s">
        <v>884</v>
      </c>
      <c r="H788" s="9">
        <v>35.827348999999998</v>
      </c>
      <c r="I788" s="9">
        <v>9.1859350000000006</v>
      </c>
      <c r="J788" s="7" t="s">
        <v>106</v>
      </c>
      <c r="K788" s="7" t="s">
        <v>37</v>
      </c>
      <c r="L788" s="7"/>
      <c r="M788" s="10">
        <v>18.47</v>
      </c>
      <c r="N788" s="7" t="s">
        <v>66</v>
      </c>
      <c r="O788" s="7"/>
      <c r="P788" s="8" t="s">
        <v>39</v>
      </c>
      <c r="Q788">
        <v>3.2</v>
      </c>
      <c r="R788">
        <v>35.299999999999997</v>
      </c>
      <c r="S788" t="s">
        <v>40</v>
      </c>
      <c r="T788">
        <v>10</v>
      </c>
      <c r="U788">
        <f t="shared" si="60"/>
        <v>32</v>
      </c>
      <c r="V788">
        <v>0.48</v>
      </c>
      <c r="W788">
        <v>160</v>
      </c>
      <c r="X788">
        <v>0.35</v>
      </c>
      <c r="Y788">
        <f t="shared" si="61"/>
        <v>56</v>
      </c>
      <c r="Z788">
        <f t="shared" si="62"/>
        <v>15.36</v>
      </c>
      <c r="AA788">
        <f t="shared" si="63"/>
        <v>0</v>
      </c>
      <c r="AB788">
        <f t="shared" si="64"/>
        <v>0</v>
      </c>
    </row>
    <row r="789" spans="1:28" ht="25.5" x14ac:dyDescent="0.25">
      <c r="A789" s="7">
        <v>788</v>
      </c>
      <c r="B789" s="7" t="s">
        <v>15</v>
      </c>
      <c r="C789" s="7" t="s">
        <v>107</v>
      </c>
      <c r="D789" s="7" t="s">
        <v>885</v>
      </c>
      <c r="E789" s="7"/>
      <c r="F789" s="8"/>
      <c r="G789" s="7" t="s">
        <v>885</v>
      </c>
      <c r="H789" s="9">
        <v>36.119649000000003</v>
      </c>
      <c r="I789" s="9">
        <v>10.378080000000001</v>
      </c>
      <c r="J789" s="7" t="s">
        <v>109</v>
      </c>
      <c r="K789" s="7" t="s">
        <v>37</v>
      </c>
      <c r="L789" s="7"/>
      <c r="M789" s="10">
        <v>18.29</v>
      </c>
      <c r="N789" s="7" t="s">
        <v>70</v>
      </c>
      <c r="O789" s="7"/>
      <c r="P789" s="8" t="s">
        <v>39</v>
      </c>
      <c r="Q789">
        <v>2.4500000000000002</v>
      </c>
      <c r="R789">
        <v>43.5</v>
      </c>
      <c r="S789" t="s">
        <v>40</v>
      </c>
      <c r="T789">
        <v>9</v>
      </c>
      <c r="U789">
        <f t="shared" si="60"/>
        <v>22.05</v>
      </c>
      <c r="V789">
        <v>0.54</v>
      </c>
      <c r="W789">
        <v>80</v>
      </c>
      <c r="X789">
        <v>0.35</v>
      </c>
      <c r="Y789">
        <f t="shared" si="61"/>
        <v>28</v>
      </c>
      <c r="Z789">
        <f t="shared" si="62"/>
        <v>11.907000000000002</v>
      </c>
      <c r="AA789">
        <f t="shared" si="63"/>
        <v>0</v>
      </c>
      <c r="AB789">
        <f t="shared" si="64"/>
        <v>0</v>
      </c>
    </row>
    <row r="790" spans="1:28" ht="25.5" x14ac:dyDescent="0.25">
      <c r="A790" s="7">
        <v>789</v>
      </c>
      <c r="B790" s="7" t="s">
        <v>15</v>
      </c>
      <c r="C790" s="7" t="s">
        <v>110</v>
      </c>
      <c r="D790" s="7" t="s">
        <v>886</v>
      </c>
      <c r="E790" s="7"/>
      <c r="F790" s="8"/>
      <c r="G790" s="7" t="s">
        <v>886</v>
      </c>
      <c r="H790" s="9">
        <v>33.143442999999998</v>
      </c>
      <c r="I790" s="9">
        <v>10.222020000000001</v>
      </c>
      <c r="J790" s="7" t="s">
        <v>112</v>
      </c>
      <c r="K790" s="7" t="s">
        <v>37</v>
      </c>
      <c r="L790" s="7"/>
      <c r="M790" s="10">
        <v>20.399999999999999</v>
      </c>
      <c r="N790" s="7" t="s">
        <v>74</v>
      </c>
      <c r="O790" s="7"/>
      <c r="P790" s="8" t="s">
        <v>39</v>
      </c>
      <c r="Q790">
        <v>2.33</v>
      </c>
      <c r="R790">
        <v>34.4</v>
      </c>
      <c r="S790" t="s">
        <v>58</v>
      </c>
      <c r="T790">
        <v>10</v>
      </c>
      <c r="U790">
        <f t="shared" si="60"/>
        <v>23.3</v>
      </c>
      <c r="V790">
        <v>0.81</v>
      </c>
      <c r="W790">
        <v>160</v>
      </c>
      <c r="X790">
        <v>0.35</v>
      </c>
      <c r="Y790">
        <f t="shared" si="61"/>
        <v>56</v>
      </c>
      <c r="Z790">
        <f t="shared" si="62"/>
        <v>18.873000000000001</v>
      </c>
      <c r="AA790">
        <f t="shared" si="63"/>
        <v>0</v>
      </c>
      <c r="AB790">
        <f t="shared" si="64"/>
        <v>0</v>
      </c>
    </row>
    <row r="791" spans="1:28" ht="25.5" x14ac:dyDescent="0.25">
      <c r="A791" s="7">
        <v>790</v>
      </c>
      <c r="B791" s="7" t="s">
        <v>15</v>
      </c>
      <c r="C791" s="7" t="s">
        <v>113</v>
      </c>
      <c r="D791" s="7" t="s">
        <v>887</v>
      </c>
      <c r="E791" s="7"/>
      <c r="F791" s="8"/>
      <c r="G791" s="7" t="s">
        <v>887</v>
      </c>
      <c r="H791" s="9">
        <v>33.884037999999997</v>
      </c>
      <c r="I791" s="9">
        <v>7.8531700000000004</v>
      </c>
      <c r="J791" s="7" t="s">
        <v>115</v>
      </c>
      <c r="K791" s="7" t="s">
        <v>37</v>
      </c>
      <c r="L791" s="7"/>
      <c r="M791" s="10">
        <v>5.33</v>
      </c>
      <c r="N791" s="7" t="s">
        <v>78</v>
      </c>
      <c r="O791" s="7"/>
      <c r="P791" s="8" t="s">
        <v>39</v>
      </c>
      <c r="Q791">
        <v>6.09</v>
      </c>
      <c r="R791">
        <v>43.8</v>
      </c>
      <c r="S791" t="s">
        <v>40</v>
      </c>
      <c r="T791">
        <v>14</v>
      </c>
      <c r="U791">
        <f t="shared" si="60"/>
        <v>85.259999999999991</v>
      </c>
      <c r="V791">
        <v>0.6</v>
      </c>
      <c r="W791">
        <v>80</v>
      </c>
      <c r="X791">
        <v>0.35</v>
      </c>
      <c r="Y791">
        <f t="shared" si="61"/>
        <v>28</v>
      </c>
      <c r="Z791">
        <f t="shared" si="62"/>
        <v>51.155999999999992</v>
      </c>
      <c r="AA791">
        <f t="shared" si="63"/>
        <v>23.155999999999992</v>
      </c>
      <c r="AB791">
        <f t="shared" si="64"/>
        <v>123.42147999999996</v>
      </c>
    </row>
    <row r="792" spans="1:28" ht="25.5" x14ac:dyDescent="0.25">
      <c r="A792" s="7">
        <v>791</v>
      </c>
      <c r="B792" s="7" t="s">
        <v>15</v>
      </c>
      <c r="C792" s="7" t="s">
        <v>116</v>
      </c>
      <c r="D792" s="7" t="s">
        <v>888</v>
      </c>
      <c r="E792" s="7"/>
      <c r="F792" s="8"/>
      <c r="G792" s="7" t="s">
        <v>888</v>
      </c>
      <c r="H792" s="9">
        <v>36.859456000000002</v>
      </c>
      <c r="I792" s="9">
        <v>10.343287</v>
      </c>
      <c r="J792" s="7" t="s">
        <v>118</v>
      </c>
      <c r="K792" s="7" t="s">
        <v>37</v>
      </c>
      <c r="L792" s="7"/>
      <c r="M792" s="10">
        <v>8.76</v>
      </c>
      <c r="N792" s="7" t="s">
        <v>38</v>
      </c>
      <c r="O792" s="7"/>
      <c r="P792" s="8" t="s">
        <v>39</v>
      </c>
      <c r="Q792">
        <v>7.34</v>
      </c>
      <c r="R792">
        <v>21.8</v>
      </c>
      <c r="S792" t="s">
        <v>53</v>
      </c>
      <c r="T792">
        <v>18</v>
      </c>
      <c r="U792">
        <f t="shared" si="60"/>
        <v>132.12</v>
      </c>
      <c r="V792">
        <v>1.1499999999999999</v>
      </c>
      <c r="W792">
        <v>0</v>
      </c>
      <c r="X792">
        <v>0</v>
      </c>
      <c r="Y792">
        <f t="shared" si="61"/>
        <v>0</v>
      </c>
      <c r="Z792">
        <f t="shared" si="62"/>
        <v>151.93799999999999</v>
      </c>
      <c r="AA792">
        <f t="shared" si="63"/>
        <v>151.93799999999999</v>
      </c>
      <c r="AB792">
        <f t="shared" si="64"/>
        <v>1330.9768799999999</v>
      </c>
    </row>
    <row r="793" spans="1:28" ht="25.5" x14ac:dyDescent="0.25">
      <c r="A793" s="7">
        <v>792</v>
      </c>
      <c r="B793" s="7" t="s">
        <v>15</v>
      </c>
      <c r="C793" s="7" t="s">
        <v>119</v>
      </c>
      <c r="D793" s="7" t="s">
        <v>889</v>
      </c>
      <c r="E793" s="7"/>
      <c r="F793" s="8"/>
      <c r="G793" s="7" t="s">
        <v>889</v>
      </c>
      <c r="H793" s="9">
        <v>36.385550000000002</v>
      </c>
      <c r="I793" s="9">
        <v>9.6025410000000004</v>
      </c>
      <c r="J793" s="7" t="s">
        <v>121</v>
      </c>
      <c r="K793" s="7" t="s">
        <v>37</v>
      </c>
      <c r="L793" s="7"/>
      <c r="M793" s="10">
        <v>23.85</v>
      </c>
      <c r="N793" s="7" t="s">
        <v>44</v>
      </c>
      <c r="O793" s="7"/>
      <c r="P793" s="8" t="s">
        <v>39</v>
      </c>
      <c r="Q793">
        <v>2.67</v>
      </c>
      <c r="R793">
        <v>24.9</v>
      </c>
      <c r="S793" t="s">
        <v>53</v>
      </c>
      <c r="T793">
        <v>18</v>
      </c>
      <c r="U793">
        <f t="shared" si="60"/>
        <v>48.06</v>
      </c>
      <c r="V793">
        <v>1.1499999999999999</v>
      </c>
      <c r="W793">
        <v>80</v>
      </c>
      <c r="X793">
        <v>0.35</v>
      </c>
      <c r="Y793">
        <f t="shared" si="61"/>
        <v>28</v>
      </c>
      <c r="Z793">
        <f t="shared" si="62"/>
        <v>55.268999999999998</v>
      </c>
      <c r="AA793">
        <f t="shared" si="63"/>
        <v>27.268999999999998</v>
      </c>
      <c r="AB793">
        <f t="shared" si="64"/>
        <v>650.36564999999996</v>
      </c>
    </row>
    <row r="794" spans="1:28" ht="25.5" x14ac:dyDescent="0.25">
      <c r="A794" s="7">
        <v>793</v>
      </c>
      <c r="B794" s="7" t="s">
        <v>15</v>
      </c>
      <c r="C794" s="7" t="s">
        <v>34</v>
      </c>
      <c r="D794" s="7" t="s">
        <v>890</v>
      </c>
      <c r="E794" s="7"/>
      <c r="F794" s="8"/>
      <c r="G794" s="7" t="s">
        <v>890</v>
      </c>
      <c r="H794" s="9">
        <v>36.889870000000002</v>
      </c>
      <c r="I794" s="9">
        <v>10.241825</v>
      </c>
      <c r="J794" s="7" t="s">
        <v>36</v>
      </c>
      <c r="K794" s="7" t="s">
        <v>37</v>
      </c>
      <c r="L794" s="7"/>
      <c r="M794" s="10">
        <v>17.600000000000001</v>
      </c>
      <c r="N794" s="7" t="s">
        <v>48</v>
      </c>
      <c r="O794" s="7"/>
      <c r="P794" s="8" t="s">
        <v>39</v>
      </c>
      <c r="Q794">
        <v>7.45</v>
      </c>
      <c r="R794">
        <v>44.1</v>
      </c>
      <c r="S794" t="s">
        <v>40</v>
      </c>
      <c r="T794">
        <v>16</v>
      </c>
      <c r="U794">
        <f t="shared" si="60"/>
        <v>119.2</v>
      </c>
      <c r="V794">
        <v>0.54</v>
      </c>
      <c r="W794">
        <v>0</v>
      </c>
      <c r="X794">
        <v>0</v>
      </c>
      <c r="Y794">
        <f t="shared" si="61"/>
        <v>0</v>
      </c>
      <c r="Z794">
        <f t="shared" si="62"/>
        <v>64.368000000000009</v>
      </c>
      <c r="AA794">
        <f t="shared" si="63"/>
        <v>64.368000000000009</v>
      </c>
      <c r="AB794">
        <f t="shared" si="64"/>
        <v>1132.8768000000002</v>
      </c>
    </row>
    <row r="795" spans="1:28" ht="25.5" x14ac:dyDescent="0.25">
      <c r="A795" s="7">
        <v>794</v>
      </c>
      <c r="B795" s="7" t="s">
        <v>15</v>
      </c>
      <c r="C795" s="7" t="s">
        <v>41</v>
      </c>
      <c r="D795" s="7" t="s">
        <v>891</v>
      </c>
      <c r="E795" s="7"/>
      <c r="F795" s="8"/>
      <c r="G795" s="7" t="s">
        <v>891</v>
      </c>
      <c r="H795" s="9">
        <v>36.673025000000003</v>
      </c>
      <c r="I795" s="9">
        <v>9.6288459999999993</v>
      </c>
      <c r="J795" s="7" t="s">
        <v>43</v>
      </c>
      <c r="K795" s="7" t="s">
        <v>37</v>
      </c>
      <c r="L795" s="7"/>
      <c r="M795" s="10">
        <v>9.01</v>
      </c>
      <c r="N795" s="7" t="s">
        <v>52</v>
      </c>
      <c r="O795" s="7"/>
      <c r="P795" s="8" t="s">
        <v>39</v>
      </c>
      <c r="Q795">
        <v>6.7</v>
      </c>
      <c r="R795">
        <v>17.3</v>
      </c>
      <c r="S795" t="s">
        <v>53</v>
      </c>
      <c r="T795">
        <v>12</v>
      </c>
      <c r="U795">
        <f t="shared" si="60"/>
        <v>80.400000000000006</v>
      </c>
      <c r="V795">
        <v>1.26</v>
      </c>
      <c r="W795">
        <v>0</v>
      </c>
      <c r="X795">
        <v>0</v>
      </c>
      <c r="Y795">
        <f t="shared" si="61"/>
        <v>0</v>
      </c>
      <c r="Z795">
        <f t="shared" si="62"/>
        <v>101.304</v>
      </c>
      <c r="AA795">
        <f t="shared" si="63"/>
        <v>101.304</v>
      </c>
      <c r="AB795">
        <f t="shared" si="64"/>
        <v>912.74904000000004</v>
      </c>
    </row>
    <row r="796" spans="1:28" ht="25.5" x14ac:dyDescent="0.25">
      <c r="A796" s="7">
        <v>795</v>
      </c>
      <c r="B796" s="7" t="s">
        <v>15</v>
      </c>
      <c r="C796" s="7" t="s">
        <v>45</v>
      </c>
      <c r="D796" s="7" t="s">
        <v>892</v>
      </c>
      <c r="E796" s="7"/>
      <c r="F796" s="8"/>
      <c r="G796" s="7" t="s">
        <v>892</v>
      </c>
      <c r="H796" s="9">
        <v>36.606135000000002</v>
      </c>
      <c r="I796" s="9">
        <v>10.319611999999999</v>
      </c>
      <c r="J796" s="7" t="s">
        <v>47</v>
      </c>
      <c r="K796" s="7" t="s">
        <v>37</v>
      </c>
      <c r="L796" s="7"/>
      <c r="M796" s="10">
        <v>19.149999999999999</v>
      </c>
      <c r="N796" s="7" t="s">
        <v>57</v>
      </c>
      <c r="O796" s="7"/>
      <c r="P796" s="8" t="s">
        <v>39</v>
      </c>
      <c r="Q796">
        <v>5.46</v>
      </c>
      <c r="R796">
        <v>26.8</v>
      </c>
      <c r="S796" t="s">
        <v>58</v>
      </c>
      <c r="T796">
        <v>8</v>
      </c>
      <c r="U796">
        <f t="shared" si="60"/>
        <v>43.68</v>
      </c>
      <c r="V796">
        <v>1.08</v>
      </c>
      <c r="W796">
        <v>120</v>
      </c>
      <c r="X796">
        <v>0.35</v>
      </c>
      <c r="Y796">
        <f t="shared" si="61"/>
        <v>42</v>
      </c>
      <c r="Z796">
        <f t="shared" si="62"/>
        <v>47.174400000000006</v>
      </c>
      <c r="AA796">
        <f t="shared" si="63"/>
        <v>5.1744000000000057</v>
      </c>
      <c r="AB796">
        <f t="shared" si="64"/>
        <v>99.089760000000098</v>
      </c>
    </row>
    <row r="797" spans="1:28" ht="25.5" x14ac:dyDescent="0.25">
      <c r="A797" s="7">
        <v>796</v>
      </c>
      <c r="B797" s="7" t="s">
        <v>15</v>
      </c>
      <c r="C797" s="7" t="s">
        <v>49</v>
      </c>
      <c r="D797" s="7" t="s">
        <v>893</v>
      </c>
      <c r="E797" s="7"/>
      <c r="F797" s="8"/>
      <c r="G797" s="7" t="s">
        <v>893</v>
      </c>
      <c r="H797" s="9">
        <v>37.149127999999997</v>
      </c>
      <c r="I797" s="9">
        <v>9.7980929999999997</v>
      </c>
      <c r="J797" s="7" t="s">
        <v>51</v>
      </c>
      <c r="K797" s="7" t="s">
        <v>37</v>
      </c>
      <c r="L797" s="7"/>
      <c r="M797" s="10">
        <v>15.94</v>
      </c>
      <c r="N797" s="7" t="s">
        <v>62</v>
      </c>
      <c r="O797" s="7"/>
      <c r="P797" s="8" t="s">
        <v>39</v>
      </c>
      <c r="Q797">
        <v>2.7</v>
      </c>
      <c r="R797">
        <v>19.899999999999999</v>
      </c>
      <c r="S797" t="s">
        <v>53</v>
      </c>
      <c r="T797">
        <v>7</v>
      </c>
      <c r="U797">
        <f t="shared" si="60"/>
        <v>18.900000000000002</v>
      </c>
      <c r="V797">
        <v>1.26</v>
      </c>
      <c r="W797">
        <v>160</v>
      </c>
      <c r="X797">
        <v>0.35</v>
      </c>
      <c r="Y797">
        <f t="shared" si="61"/>
        <v>56</v>
      </c>
      <c r="Z797">
        <f t="shared" si="62"/>
        <v>23.814000000000004</v>
      </c>
      <c r="AA797">
        <f t="shared" si="63"/>
        <v>0</v>
      </c>
      <c r="AB797">
        <f t="shared" si="64"/>
        <v>0</v>
      </c>
    </row>
    <row r="798" spans="1:28" ht="25.5" x14ac:dyDescent="0.25">
      <c r="A798" s="7">
        <v>797</v>
      </c>
      <c r="B798" s="7" t="s">
        <v>15</v>
      </c>
      <c r="C798" s="7" t="s">
        <v>54</v>
      </c>
      <c r="D798" s="7" t="s">
        <v>894</v>
      </c>
      <c r="E798" s="7"/>
      <c r="F798" s="8"/>
      <c r="G798" s="7" t="s">
        <v>894</v>
      </c>
      <c r="H798" s="9">
        <v>33.618504999999999</v>
      </c>
      <c r="I798" s="9">
        <v>10.298659000000001</v>
      </c>
      <c r="J798" s="7" t="s">
        <v>56</v>
      </c>
      <c r="K798" s="7" t="s">
        <v>37</v>
      </c>
      <c r="L798" s="7"/>
      <c r="M798" s="10">
        <v>19.62</v>
      </c>
      <c r="N798" s="7" t="s">
        <v>66</v>
      </c>
      <c r="O798" s="7"/>
      <c r="P798" s="8" t="s">
        <v>39</v>
      </c>
      <c r="Q798">
        <v>7.98</v>
      </c>
      <c r="R798">
        <v>42.1</v>
      </c>
      <c r="S798" t="s">
        <v>40</v>
      </c>
      <c r="T798">
        <v>10</v>
      </c>
      <c r="U798">
        <f t="shared" si="60"/>
        <v>79.800000000000011</v>
      </c>
      <c r="V798">
        <v>0.48</v>
      </c>
      <c r="W798">
        <v>0</v>
      </c>
      <c r="X798">
        <v>0</v>
      </c>
      <c r="Y798">
        <f t="shared" si="61"/>
        <v>0</v>
      </c>
      <c r="Z798">
        <f t="shared" si="62"/>
        <v>38.304000000000002</v>
      </c>
      <c r="AA798">
        <f t="shared" si="63"/>
        <v>38.304000000000002</v>
      </c>
      <c r="AB798">
        <f t="shared" si="64"/>
        <v>751.52448000000004</v>
      </c>
    </row>
    <row r="799" spans="1:28" ht="25.5" x14ac:dyDescent="0.25">
      <c r="A799" s="7">
        <v>798</v>
      </c>
      <c r="B799" s="7" t="s">
        <v>15</v>
      </c>
      <c r="C799" s="7" t="s">
        <v>59</v>
      </c>
      <c r="D799" s="7" t="s">
        <v>895</v>
      </c>
      <c r="E799" s="7"/>
      <c r="F799" s="8"/>
      <c r="G799" s="7" t="s">
        <v>895</v>
      </c>
      <c r="H799" s="9">
        <v>34.331814000000001</v>
      </c>
      <c r="I799" s="9">
        <v>8.4233550000000008</v>
      </c>
      <c r="J799" s="7" t="s">
        <v>61</v>
      </c>
      <c r="K799" s="7" t="s">
        <v>37</v>
      </c>
      <c r="L799" s="7"/>
      <c r="M799" s="10">
        <v>19.39</v>
      </c>
      <c r="N799" s="7" t="s">
        <v>70</v>
      </c>
      <c r="O799" s="7"/>
      <c r="P799" s="8" t="s">
        <v>39</v>
      </c>
      <c r="Q799">
        <v>1.83</v>
      </c>
      <c r="R799">
        <v>20.5</v>
      </c>
      <c r="S799" t="s">
        <v>53</v>
      </c>
      <c r="T799">
        <v>9</v>
      </c>
      <c r="U799">
        <f t="shared" si="60"/>
        <v>16.47</v>
      </c>
      <c r="V799">
        <v>1.03</v>
      </c>
      <c r="W799">
        <v>50</v>
      </c>
      <c r="X799">
        <v>0.35</v>
      </c>
      <c r="Y799">
        <f t="shared" si="61"/>
        <v>17.5</v>
      </c>
      <c r="Z799">
        <f t="shared" si="62"/>
        <v>16.964099999999998</v>
      </c>
      <c r="AA799">
        <f t="shared" si="63"/>
        <v>0</v>
      </c>
      <c r="AB799">
        <f t="shared" si="64"/>
        <v>0</v>
      </c>
    </row>
    <row r="800" spans="1:28" ht="25.5" x14ac:dyDescent="0.25">
      <c r="A800" s="7">
        <v>799</v>
      </c>
      <c r="B800" s="7" t="s">
        <v>15</v>
      </c>
      <c r="C800" s="7" t="s">
        <v>63</v>
      </c>
      <c r="D800" s="7" t="s">
        <v>896</v>
      </c>
      <c r="E800" s="7"/>
      <c r="F800" s="8"/>
      <c r="G800" s="7" t="s">
        <v>896</v>
      </c>
      <c r="H800" s="9">
        <v>36.928077000000002</v>
      </c>
      <c r="I800" s="9">
        <v>8.7606439999999992</v>
      </c>
      <c r="J800" s="7" t="s">
        <v>65</v>
      </c>
      <c r="K800" s="7" t="s">
        <v>37</v>
      </c>
      <c r="L800" s="7"/>
      <c r="M800" s="10">
        <v>16.57</v>
      </c>
      <c r="N800" s="7" t="s">
        <v>74</v>
      </c>
      <c r="O800" s="7"/>
      <c r="P800" s="8" t="s">
        <v>39</v>
      </c>
      <c r="Q800">
        <v>7.43</v>
      </c>
      <c r="R800">
        <v>44</v>
      </c>
      <c r="S800" t="s">
        <v>40</v>
      </c>
      <c r="T800">
        <v>10</v>
      </c>
      <c r="U800">
        <f t="shared" si="60"/>
        <v>74.3</v>
      </c>
      <c r="V800">
        <v>0.54</v>
      </c>
      <c r="W800">
        <v>50</v>
      </c>
      <c r="X800">
        <v>0.35</v>
      </c>
      <c r="Y800">
        <f t="shared" si="61"/>
        <v>17.5</v>
      </c>
      <c r="Z800">
        <f t="shared" si="62"/>
        <v>40.122</v>
      </c>
      <c r="AA800">
        <f t="shared" si="63"/>
        <v>22.622</v>
      </c>
      <c r="AB800">
        <f t="shared" si="64"/>
        <v>374.84654</v>
      </c>
    </row>
    <row r="801" spans="1:28" ht="25.5" x14ac:dyDescent="0.25">
      <c r="A801" s="7">
        <v>800</v>
      </c>
      <c r="B801" s="7" t="s">
        <v>15</v>
      </c>
      <c r="C801" s="7" t="s">
        <v>67</v>
      </c>
      <c r="D801" s="7" t="s">
        <v>897</v>
      </c>
      <c r="E801" s="7"/>
      <c r="F801" s="8"/>
      <c r="G801" s="7" t="s">
        <v>897</v>
      </c>
      <c r="H801" s="9">
        <v>35.613205999999998</v>
      </c>
      <c r="I801" s="9">
        <v>9.9341030000000003</v>
      </c>
      <c r="J801" s="7" t="s">
        <v>69</v>
      </c>
      <c r="K801" s="7" t="s">
        <v>37</v>
      </c>
      <c r="L801" s="7"/>
      <c r="M801" s="10">
        <v>16.22</v>
      </c>
      <c r="N801" s="7" t="s">
        <v>78</v>
      </c>
      <c r="O801" s="7"/>
      <c r="P801" s="8" t="s">
        <v>39</v>
      </c>
      <c r="Q801">
        <v>2.38</v>
      </c>
      <c r="R801">
        <v>25.2</v>
      </c>
      <c r="S801" t="s">
        <v>58</v>
      </c>
      <c r="T801">
        <v>14</v>
      </c>
      <c r="U801">
        <f t="shared" si="60"/>
        <v>33.32</v>
      </c>
      <c r="V801">
        <v>0.9</v>
      </c>
      <c r="W801">
        <v>160</v>
      </c>
      <c r="X801">
        <v>0.35</v>
      </c>
      <c r="Y801">
        <f t="shared" si="61"/>
        <v>56</v>
      </c>
      <c r="Z801">
        <f t="shared" si="62"/>
        <v>29.988</v>
      </c>
      <c r="AA801">
        <f t="shared" si="63"/>
        <v>0</v>
      </c>
      <c r="AB801">
        <f t="shared" si="64"/>
        <v>0</v>
      </c>
    </row>
    <row r="802" spans="1:28" ht="25.5" x14ac:dyDescent="0.25">
      <c r="A802" s="7">
        <v>801</v>
      </c>
      <c r="B802" s="7" t="s">
        <v>15</v>
      </c>
      <c r="C802" s="7" t="s">
        <v>71</v>
      </c>
      <c r="D802" s="7" t="s">
        <v>898</v>
      </c>
      <c r="E802" s="7"/>
      <c r="F802" s="8"/>
      <c r="G802" s="7" t="s">
        <v>898</v>
      </c>
      <c r="H802" s="9">
        <v>35.246200999999999</v>
      </c>
      <c r="I802" s="9">
        <v>9.1265499999999999</v>
      </c>
      <c r="J802" s="7" t="s">
        <v>73</v>
      </c>
      <c r="K802" s="7" t="s">
        <v>37</v>
      </c>
      <c r="L802" s="7"/>
      <c r="M802" s="10">
        <v>5.58</v>
      </c>
      <c r="N802" s="7" t="s">
        <v>38</v>
      </c>
      <c r="O802" s="7"/>
      <c r="P802" s="8" t="s">
        <v>39</v>
      </c>
      <c r="Q802">
        <v>6.62</v>
      </c>
      <c r="R802">
        <v>12.3</v>
      </c>
      <c r="S802" t="s">
        <v>91</v>
      </c>
      <c r="T802">
        <v>18</v>
      </c>
      <c r="U802">
        <f t="shared" si="60"/>
        <v>119.16</v>
      </c>
      <c r="V802">
        <v>1.35</v>
      </c>
      <c r="W802">
        <v>0</v>
      </c>
      <c r="X802">
        <v>0</v>
      </c>
      <c r="Y802">
        <f t="shared" si="61"/>
        <v>0</v>
      </c>
      <c r="Z802">
        <f t="shared" si="62"/>
        <v>160.86600000000001</v>
      </c>
      <c r="AA802">
        <f t="shared" si="63"/>
        <v>160.86600000000001</v>
      </c>
      <c r="AB802">
        <f t="shared" si="64"/>
        <v>897.63228000000004</v>
      </c>
    </row>
    <row r="803" spans="1:28" ht="25.5" x14ac:dyDescent="0.25">
      <c r="A803" s="7">
        <v>802</v>
      </c>
      <c r="B803" s="7" t="s">
        <v>15</v>
      </c>
      <c r="C803" s="7" t="s">
        <v>75</v>
      </c>
      <c r="D803" s="7" t="s">
        <v>899</v>
      </c>
      <c r="E803" s="7"/>
      <c r="F803" s="8"/>
      <c r="G803" s="7" t="s">
        <v>899</v>
      </c>
      <c r="H803" s="9">
        <v>33.451712999999998</v>
      </c>
      <c r="I803" s="9">
        <v>8.9976979999999998</v>
      </c>
      <c r="J803" s="7" t="s">
        <v>77</v>
      </c>
      <c r="K803" s="7" t="s">
        <v>37</v>
      </c>
      <c r="L803" s="7"/>
      <c r="M803" s="10">
        <v>23.02</v>
      </c>
      <c r="N803" s="7" t="s">
        <v>44</v>
      </c>
      <c r="O803" s="7"/>
      <c r="P803" s="8" t="s">
        <v>39</v>
      </c>
      <c r="Q803">
        <v>5.41</v>
      </c>
      <c r="R803">
        <v>43.7</v>
      </c>
      <c r="S803" t="s">
        <v>40</v>
      </c>
      <c r="T803">
        <v>18</v>
      </c>
      <c r="U803">
        <f t="shared" si="60"/>
        <v>97.38</v>
      </c>
      <c r="V803">
        <v>0.6</v>
      </c>
      <c r="W803">
        <v>0</v>
      </c>
      <c r="X803">
        <v>0</v>
      </c>
      <c r="Y803">
        <f t="shared" si="61"/>
        <v>0</v>
      </c>
      <c r="Z803">
        <f t="shared" si="62"/>
        <v>58.427999999999997</v>
      </c>
      <c r="AA803">
        <f t="shared" si="63"/>
        <v>58.427999999999997</v>
      </c>
      <c r="AB803">
        <f t="shared" si="64"/>
        <v>1345.0125599999999</v>
      </c>
    </row>
    <row r="804" spans="1:28" ht="25.5" x14ac:dyDescent="0.25">
      <c r="A804" s="7">
        <v>803</v>
      </c>
      <c r="B804" s="7" t="s">
        <v>15</v>
      </c>
      <c r="C804" s="7" t="s">
        <v>79</v>
      </c>
      <c r="D804" s="7" t="s">
        <v>900</v>
      </c>
      <c r="E804" s="7"/>
      <c r="F804" s="8"/>
      <c r="G804" s="7" t="s">
        <v>900</v>
      </c>
      <c r="H804" s="9">
        <v>35.942357000000001</v>
      </c>
      <c r="I804" s="9">
        <v>8.8402189999999994</v>
      </c>
      <c r="J804" s="7" t="s">
        <v>81</v>
      </c>
      <c r="K804" s="7" t="s">
        <v>37</v>
      </c>
      <c r="L804" s="7"/>
      <c r="M804" s="10">
        <v>17.91</v>
      </c>
      <c r="N804" s="7" t="s">
        <v>48</v>
      </c>
      <c r="O804" s="7"/>
      <c r="P804" s="8" t="s">
        <v>39</v>
      </c>
      <c r="Q804">
        <v>4.68</v>
      </c>
      <c r="R804">
        <v>28.2</v>
      </c>
      <c r="S804" t="s">
        <v>58</v>
      </c>
      <c r="T804">
        <v>16</v>
      </c>
      <c r="U804">
        <f t="shared" si="60"/>
        <v>74.88</v>
      </c>
      <c r="V804">
        <v>0.81</v>
      </c>
      <c r="W804">
        <v>0</v>
      </c>
      <c r="X804">
        <v>0</v>
      </c>
      <c r="Y804">
        <f t="shared" si="61"/>
        <v>0</v>
      </c>
      <c r="Z804">
        <f t="shared" si="62"/>
        <v>60.652799999999999</v>
      </c>
      <c r="AA804">
        <f t="shared" si="63"/>
        <v>60.652799999999999</v>
      </c>
      <c r="AB804">
        <f t="shared" si="64"/>
        <v>1086.2916479999999</v>
      </c>
    </row>
    <row r="805" spans="1:28" ht="25.5" x14ac:dyDescent="0.25">
      <c r="A805" s="7">
        <v>804</v>
      </c>
      <c r="B805" s="7" t="s">
        <v>15</v>
      </c>
      <c r="C805" s="7" t="s">
        <v>82</v>
      </c>
      <c r="D805" s="7" t="s">
        <v>901</v>
      </c>
      <c r="E805" s="7"/>
      <c r="F805" s="8"/>
      <c r="G805" s="7" t="s">
        <v>901</v>
      </c>
      <c r="H805" s="9">
        <v>35.241019999999999</v>
      </c>
      <c r="I805" s="9">
        <v>11.137701</v>
      </c>
      <c r="J805" s="7" t="s">
        <v>84</v>
      </c>
      <c r="K805" s="7" t="s">
        <v>37</v>
      </c>
      <c r="L805" s="7"/>
      <c r="M805" s="10">
        <v>23.54</v>
      </c>
      <c r="N805" s="7" t="s">
        <v>52</v>
      </c>
      <c r="O805" s="7"/>
      <c r="P805" s="8" t="s">
        <v>39</v>
      </c>
      <c r="Q805">
        <v>4.6500000000000004</v>
      </c>
      <c r="R805">
        <v>30</v>
      </c>
      <c r="S805" t="s">
        <v>58</v>
      </c>
      <c r="T805">
        <v>12</v>
      </c>
      <c r="U805">
        <f t="shared" si="60"/>
        <v>55.800000000000004</v>
      </c>
      <c r="V805">
        <v>0.99</v>
      </c>
      <c r="W805">
        <v>120</v>
      </c>
      <c r="X805">
        <v>0.35</v>
      </c>
      <c r="Y805">
        <f t="shared" si="61"/>
        <v>42</v>
      </c>
      <c r="Z805">
        <f t="shared" si="62"/>
        <v>55.242000000000004</v>
      </c>
      <c r="AA805">
        <f t="shared" si="63"/>
        <v>13.242000000000004</v>
      </c>
      <c r="AB805">
        <f t="shared" si="64"/>
        <v>311.71668000000011</v>
      </c>
    </row>
    <row r="806" spans="1:28" ht="25.5" x14ac:dyDescent="0.25">
      <c r="A806" s="7">
        <v>805</v>
      </c>
      <c r="B806" s="7" t="s">
        <v>15</v>
      </c>
      <c r="C806" s="7" t="s">
        <v>85</v>
      </c>
      <c r="D806" s="7" t="s">
        <v>902</v>
      </c>
      <c r="E806" s="7"/>
      <c r="F806" s="8"/>
      <c r="G806" s="7" t="s">
        <v>902</v>
      </c>
      <c r="H806" s="9">
        <v>36.816769000000001</v>
      </c>
      <c r="I806" s="9">
        <v>9.8585779999999996</v>
      </c>
      <c r="J806" s="7" t="s">
        <v>87</v>
      </c>
      <c r="K806" s="7" t="s">
        <v>37</v>
      </c>
      <c r="L806" s="7"/>
      <c r="M806" s="10">
        <v>21.5</v>
      </c>
      <c r="N806" s="7" t="s">
        <v>57</v>
      </c>
      <c r="O806" s="7"/>
      <c r="P806" s="8" t="s">
        <v>39</v>
      </c>
      <c r="Q806">
        <v>5.25</v>
      </c>
      <c r="R806">
        <v>18.7</v>
      </c>
      <c r="S806" t="s">
        <v>53</v>
      </c>
      <c r="T806">
        <v>8</v>
      </c>
      <c r="U806">
        <f t="shared" si="60"/>
        <v>42</v>
      </c>
      <c r="V806">
        <v>1.38</v>
      </c>
      <c r="W806">
        <v>120</v>
      </c>
      <c r="X806">
        <v>0.35</v>
      </c>
      <c r="Y806">
        <f t="shared" si="61"/>
        <v>42</v>
      </c>
      <c r="Z806">
        <f t="shared" si="62"/>
        <v>57.959999999999994</v>
      </c>
      <c r="AA806">
        <f t="shared" si="63"/>
        <v>15.959999999999994</v>
      </c>
      <c r="AB806">
        <f t="shared" si="64"/>
        <v>343.13999999999987</v>
      </c>
    </row>
    <row r="807" spans="1:28" ht="25.5" x14ac:dyDescent="0.25">
      <c r="A807" s="7">
        <v>806</v>
      </c>
      <c r="B807" s="7" t="s">
        <v>15</v>
      </c>
      <c r="C807" s="7" t="s">
        <v>88</v>
      </c>
      <c r="D807" s="7" t="s">
        <v>903</v>
      </c>
      <c r="E807" s="7"/>
      <c r="F807" s="8"/>
      <c r="G807" s="7" t="s">
        <v>903</v>
      </c>
      <c r="H807" s="9">
        <v>33.808177000000001</v>
      </c>
      <c r="I807" s="9">
        <v>10.980073000000001</v>
      </c>
      <c r="J807" s="7" t="s">
        <v>90</v>
      </c>
      <c r="K807" s="7" t="s">
        <v>37</v>
      </c>
      <c r="L807" s="7"/>
      <c r="M807" s="10">
        <v>16.84</v>
      </c>
      <c r="N807" s="7" t="s">
        <v>62</v>
      </c>
      <c r="O807" s="7"/>
      <c r="P807" s="8" t="s">
        <v>39</v>
      </c>
      <c r="Q807">
        <v>7.16</v>
      </c>
      <c r="R807">
        <v>36.700000000000003</v>
      </c>
      <c r="S807" t="s">
        <v>40</v>
      </c>
      <c r="T807">
        <v>7</v>
      </c>
      <c r="U807">
        <f t="shared" si="60"/>
        <v>50.120000000000005</v>
      </c>
      <c r="V807">
        <v>0.66</v>
      </c>
      <c r="W807">
        <v>0</v>
      </c>
      <c r="X807">
        <v>0</v>
      </c>
      <c r="Y807">
        <f t="shared" si="61"/>
        <v>0</v>
      </c>
      <c r="Z807">
        <f t="shared" si="62"/>
        <v>33.079200000000007</v>
      </c>
      <c r="AA807">
        <f t="shared" si="63"/>
        <v>33.079200000000007</v>
      </c>
      <c r="AB807">
        <f t="shared" si="64"/>
        <v>557.05372800000009</v>
      </c>
    </row>
    <row r="808" spans="1:28" ht="25.5" x14ac:dyDescent="0.25">
      <c r="A808" s="7">
        <v>807</v>
      </c>
      <c r="B808" s="7" t="s">
        <v>15</v>
      </c>
      <c r="C808" s="7" t="s">
        <v>92</v>
      </c>
      <c r="D808" s="7" t="s">
        <v>904</v>
      </c>
      <c r="E808" s="7"/>
      <c r="F808" s="8"/>
      <c r="G808" s="7" t="s">
        <v>904</v>
      </c>
      <c r="H808" s="9">
        <v>35.605097999999998</v>
      </c>
      <c r="I808" s="9">
        <v>10.743608</v>
      </c>
      <c r="J808" s="7" t="s">
        <v>94</v>
      </c>
      <c r="K808" s="7" t="s">
        <v>37</v>
      </c>
      <c r="L808" s="7"/>
      <c r="M808" s="10">
        <v>14.11</v>
      </c>
      <c r="N808" s="7" t="s">
        <v>66</v>
      </c>
      <c r="O808" s="7"/>
      <c r="P808" s="8" t="s">
        <v>39</v>
      </c>
      <c r="Q808">
        <v>5.86</v>
      </c>
      <c r="R808">
        <v>40.799999999999997</v>
      </c>
      <c r="S808" t="s">
        <v>40</v>
      </c>
      <c r="T808">
        <v>10</v>
      </c>
      <c r="U808">
        <f t="shared" si="60"/>
        <v>58.6</v>
      </c>
      <c r="V808">
        <v>0.48</v>
      </c>
      <c r="W808">
        <v>120</v>
      </c>
      <c r="X808">
        <v>0.35</v>
      </c>
      <c r="Y808">
        <f t="shared" si="61"/>
        <v>42</v>
      </c>
      <c r="Z808">
        <f t="shared" si="62"/>
        <v>28.128</v>
      </c>
      <c r="AA808">
        <f t="shared" si="63"/>
        <v>0</v>
      </c>
      <c r="AB808">
        <f t="shared" si="64"/>
        <v>0</v>
      </c>
    </row>
    <row r="809" spans="1:28" ht="25.5" x14ac:dyDescent="0.25">
      <c r="A809" s="7">
        <v>808</v>
      </c>
      <c r="B809" s="7" t="s">
        <v>15</v>
      </c>
      <c r="C809" s="7" t="s">
        <v>95</v>
      </c>
      <c r="D809" s="7" t="s">
        <v>905</v>
      </c>
      <c r="E809" s="7"/>
      <c r="F809" s="8"/>
      <c r="G809" s="7" t="s">
        <v>905</v>
      </c>
      <c r="H809" s="9">
        <v>36.561993999999999</v>
      </c>
      <c r="I809" s="9">
        <v>10.847963999999999</v>
      </c>
      <c r="J809" s="7" t="s">
        <v>97</v>
      </c>
      <c r="K809" s="7" t="s">
        <v>37</v>
      </c>
      <c r="L809" s="7"/>
      <c r="M809" s="10">
        <v>20.98</v>
      </c>
      <c r="N809" s="7" t="s">
        <v>70</v>
      </c>
      <c r="O809" s="7"/>
      <c r="P809" s="8" t="s">
        <v>39</v>
      </c>
      <c r="Q809">
        <v>2.4</v>
      </c>
      <c r="R809">
        <v>36</v>
      </c>
      <c r="S809" t="s">
        <v>40</v>
      </c>
      <c r="T809">
        <v>9</v>
      </c>
      <c r="U809">
        <f t="shared" si="60"/>
        <v>21.599999999999998</v>
      </c>
      <c r="V809">
        <v>0.54</v>
      </c>
      <c r="W809">
        <v>0</v>
      </c>
      <c r="X809">
        <v>0</v>
      </c>
      <c r="Y809">
        <f t="shared" si="61"/>
        <v>0</v>
      </c>
      <c r="Z809">
        <f t="shared" si="62"/>
        <v>11.664</v>
      </c>
      <c r="AA809">
        <f t="shared" si="63"/>
        <v>11.664</v>
      </c>
      <c r="AB809">
        <f t="shared" si="64"/>
        <v>244.71072000000001</v>
      </c>
    </row>
    <row r="810" spans="1:28" ht="25.5" x14ac:dyDescent="0.25">
      <c r="A810" s="7">
        <v>809</v>
      </c>
      <c r="B810" s="7" t="s">
        <v>15</v>
      </c>
      <c r="C810" s="7" t="s">
        <v>98</v>
      </c>
      <c r="D810" s="7" t="s">
        <v>906</v>
      </c>
      <c r="E810" s="7"/>
      <c r="F810" s="8"/>
      <c r="G810" s="7" t="s">
        <v>906</v>
      </c>
      <c r="H810" s="9">
        <v>34.735169999999997</v>
      </c>
      <c r="I810" s="9">
        <v>10.496511999999999</v>
      </c>
      <c r="J810" s="7" t="s">
        <v>100</v>
      </c>
      <c r="K810" s="7" t="s">
        <v>37</v>
      </c>
      <c r="L810" s="7"/>
      <c r="M810" s="10">
        <v>18.170000000000002</v>
      </c>
      <c r="N810" s="7" t="s">
        <v>74</v>
      </c>
      <c r="O810" s="7"/>
      <c r="P810" s="8" t="s">
        <v>39</v>
      </c>
      <c r="Q810">
        <v>1.92</v>
      </c>
      <c r="R810">
        <v>16</v>
      </c>
      <c r="S810" t="s">
        <v>53</v>
      </c>
      <c r="T810">
        <v>10</v>
      </c>
      <c r="U810">
        <f t="shared" si="60"/>
        <v>19.2</v>
      </c>
      <c r="V810">
        <v>1.03</v>
      </c>
      <c r="W810">
        <v>160</v>
      </c>
      <c r="X810">
        <v>0.35</v>
      </c>
      <c r="Y810">
        <f t="shared" si="61"/>
        <v>56</v>
      </c>
      <c r="Z810">
        <f t="shared" si="62"/>
        <v>19.776</v>
      </c>
      <c r="AA810">
        <f t="shared" si="63"/>
        <v>0</v>
      </c>
      <c r="AB810">
        <f t="shared" si="64"/>
        <v>0</v>
      </c>
    </row>
    <row r="811" spans="1:28" ht="25.5" x14ac:dyDescent="0.25">
      <c r="A811" s="7">
        <v>810</v>
      </c>
      <c r="B811" s="7" t="s">
        <v>15</v>
      </c>
      <c r="C811" s="7" t="s">
        <v>101</v>
      </c>
      <c r="D811" s="7" t="s">
        <v>907</v>
      </c>
      <c r="E811" s="7"/>
      <c r="F811" s="8"/>
      <c r="G811" s="7" t="s">
        <v>907</v>
      </c>
      <c r="H811" s="9">
        <v>34.897683000000001</v>
      </c>
      <c r="I811" s="9">
        <v>9.7594159999999999</v>
      </c>
      <c r="J811" s="7" t="s">
        <v>103</v>
      </c>
      <c r="K811" s="7" t="s">
        <v>37</v>
      </c>
      <c r="L811" s="7"/>
      <c r="M811" s="10">
        <v>8.81</v>
      </c>
      <c r="N811" s="7" t="s">
        <v>78</v>
      </c>
      <c r="O811" s="7"/>
      <c r="P811" s="8" t="s">
        <v>39</v>
      </c>
      <c r="Q811">
        <v>5.73</v>
      </c>
      <c r="R811">
        <v>28.9</v>
      </c>
      <c r="S811" t="s">
        <v>58</v>
      </c>
      <c r="T811">
        <v>14</v>
      </c>
      <c r="U811">
        <f t="shared" si="60"/>
        <v>80.22</v>
      </c>
      <c r="V811">
        <v>0.9</v>
      </c>
      <c r="W811">
        <v>80</v>
      </c>
      <c r="X811">
        <v>0.35</v>
      </c>
      <c r="Y811">
        <f t="shared" si="61"/>
        <v>28</v>
      </c>
      <c r="Z811">
        <f t="shared" si="62"/>
        <v>72.198000000000008</v>
      </c>
      <c r="AA811">
        <f t="shared" si="63"/>
        <v>44.198000000000008</v>
      </c>
      <c r="AB811">
        <f t="shared" si="64"/>
        <v>389.38438000000008</v>
      </c>
    </row>
    <row r="812" spans="1:28" ht="25.5" x14ac:dyDescent="0.25">
      <c r="A812" s="7">
        <v>811</v>
      </c>
      <c r="B812" s="7" t="s">
        <v>15</v>
      </c>
      <c r="C812" s="7" t="s">
        <v>104</v>
      </c>
      <c r="D812" s="7" t="s">
        <v>908</v>
      </c>
      <c r="E812" s="7"/>
      <c r="F812" s="8"/>
      <c r="G812" s="7" t="s">
        <v>908</v>
      </c>
      <c r="H812" s="9">
        <v>35.834293000000002</v>
      </c>
      <c r="I812" s="9">
        <v>9.2228320000000004</v>
      </c>
      <c r="J812" s="7" t="s">
        <v>106</v>
      </c>
      <c r="K812" s="7" t="s">
        <v>37</v>
      </c>
      <c r="L812" s="7"/>
      <c r="M812" s="10">
        <v>7.07</v>
      </c>
      <c r="N812" s="7" t="s">
        <v>38</v>
      </c>
      <c r="O812" s="7"/>
      <c r="P812" s="8" t="s">
        <v>39</v>
      </c>
      <c r="Q812">
        <v>7.65</v>
      </c>
      <c r="R812">
        <v>19.899999999999999</v>
      </c>
      <c r="S812" t="s">
        <v>53</v>
      </c>
      <c r="T812">
        <v>18</v>
      </c>
      <c r="U812">
        <f t="shared" si="60"/>
        <v>137.70000000000002</v>
      </c>
      <c r="V812">
        <v>1.1499999999999999</v>
      </c>
      <c r="W812">
        <v>0</v>
      </c>
      <c r="X812">
        <v>0</v>
      </c>
      <c r="Y812">
        <f t="shared" si="61"/>
        <v>0</v>
      </c>
      <c r="Z812">
        <f t="shared" si="62"/>
        <v>158.35500000000002</v>
      </c>
      <c r="AA812">
        <f t="shared" si="63"/>
        <v>158.35500000000002</v>
      </c>
      <c r="AB812">
        <f t="shared" si="64"/>
        <v>1119.5698500000001</v>
      </c>
    </row>
    <row r="813" spans="1:28" ht="25.5" x14ac:dyDescent="0.25">
      <c r="A813" s="7">
        <v>812</v>
      </c>
      <c r="B813" s="7" t="s">
        <v>15</v>
      </c>
      <c r="C813" s="7" t="s">
        <v>107</v>
      </c>
      <c r="D813" s="7" t="s">
        <v>909</v>
      </c>
      <c r="E813" s="7"/>
      <c r="F813" s="8"/>
      <c r="G813" s="7" t="s">
        <v>909</v>
      </c>
      <c r="H813" s="9">
        <v>36.150973</v>
      </c>
      <c r="I813" s="9">
        <v>10.384993</v>
      </c>
      <c r="J813" s="7" t="s">
        <v>109</v>
      </c>
      <c r="K813" s="7" t="s">
        <v>37</v>
      </c>
      <c r="L813" s="7"/>
      <c r="M813" s="10">
        <v>6.41</v>
      </c>
      <c r="N813" s="7" t="s">
        <v>44</v>
      </c>
      <c r="O813" s="7"/>
      <c r="P813" s="8" t="s">
        <v>39</v>
      </c>
      <c r="Q813">
        <v>4.68</v>
      </c>
      <c r="R813">
        <v>44.5</v>
      </c>
      <c r="S813" t="s">
        <v>40</v>
      </c>
      <c r="T813">
        <v>18</v>
      </c>
      <c r="U813">
        <f t="shared" si="60"/>
        <v>84.24</v>
      </c>
      <c r="V813">
        <v>0.6</v>
      </c>
      <c r="W813">
        <v>0</v>
      </c>
      <c r="X813">
        <v>0</v>
      </c>
      <c r="Y813">
        <f t="shared" si="61"/>
        <v>0</v>
      </c>
      <c r="Z813">
        <f t="shared" si="62"/>
        <v>50.543999999999997</v>
      </c>
      <c r="AA813">
        <f t="shared" si="63"/>
        <v>50.543999999999997</v>
      </c>
      <c r="AB813">
        <f t="shared" si="64"/>
        <v>323.98703999999998</v>
      </c>
    </row>
    <row r="814" spans="1:28" ht="25.5" x14ac:dyDescent="0.25">
      <c r="A814" s="7">
        <v>813</v>
      </c>
      <c r="B814" s="7" t="s">
        <v>15</v>
      </c>
      <c r="C814" s="7" t="s">
        <v>110</v>
      </c>
      <c r="D814" s="7" t="s">
        <v>910</v>
      </c>
      <c r="E814" s="7"/>
      <c r="F814" s="8"/>
      <c r="G814" s="7" t="s">
        <v>910</v>
      </c>
      <c r="H814" s="9">
        <v>33.156694999999999</v>
      </c>
      <c r="I814" s="9">
        <v>10.239656999999999</v>
      </c>
      <c r="J814" s="7" t="s">
        <v>112</v>
      </c>
      <c r="K814" s="7" t="s">
        <v>37</v>
      </c>
      <c r="L814" s="7"/>
      <c r="M814" s="10">
        <v>21.5</v>
      </c>
      <c r="N814" s="7" t="s">
        <v>48</v>
      </c>
      <c r="O814" s="7"/>
      <c r="P814" s="8" t="s">
        <v>39</v>
      </c>
      <c r="Q814">
        <v>2.29</v>
      </c>
      <c r="R814">
        <v>32.200000000000003</v>
      </c>
      <c r="S814" t="s">
        <v>58</v>
      </c>
      <c r="T814">
        <v>16</v>
      </c>
      <c r="U814">
        <f t="shared" si="60"/>
        <v>36.64</v>
      </c>
      <c r="V814">
        <v>0.81</v>
      </c>
      <c r="W814">
        <v>0</v>
      </c>
      <c r="X814">
        <v>0</v>
      </c>
      <c r="Y814">
        <f t="shared" si="61"/>
        <v>0</v>
      </c>
      <c r="Z814">
        <f t="shared" si="62"/>
        <v>29.678400000000003</v>
      </c>
      <c r="AA814">
        <f t="shared" si="63"/>
        <v>29.678400000000003</v>
      </c>
      <c r="AB814">
        <f t="shared" si="64"/>
        <v>638.08560000000011</v>
      </c>
    </row>
    <row r="815" spans="1:28" ht="25.5" x14ac:dyDescent="0.25">
      <c r="A815" s="7">
        <v>814</v>
      </c>
      <c r="B815" s="7" t="s">
        <v>15</v>
      </c>
      <c r="C815" s="7" t="s">
        <v>113</v>
      </c>
      <c r="D815" s="7" t="s">
        <v>911</v>
      </c>
      <c r="E815" s="7"/>
      <c r="F815" s="8"/>
      <c r="G815" s="7" t="s">
        <v>911</v>
      </c>
      <c r="H815" s="9">
        <v>33.864882000000001</v>
      </c>
      <c r="I815" s="9">
        <v>7.8798700000000004</v>
      </c>
      <c r="J815" s="7" t="s">
        <v>115</v>
      </c>
      <c r="K815" s="7" t="s">
        <v>37</v>
      </c>
      <c r="L815" s="7"/>
      <c r="M815" s="10">
        <v>9.25</v>
      </c>
      <c r="N815" s="7" t="s">
        <v>52</v>
      </c>
      <c r="O815" s="7"/>
      <c r="P815" s="8" t="s">
        <v>39</v>
      </c>
      <c r="Q815">
        <v>2.37</v>
      </c>
      <c r="R815">
        <v>10.6</v>
      </c>
      <c r="S815" t="s">
        <v>91</v>
      </c>
      <c r="T815">
        <v>12</v>
      </c>
      <c r="U815">
        <f t="shared" si="60"/>
        <v>28.44</v>
      </c>
      <c r="V815">
        <v>1.49</v>
      </c>
      <c r="W815">
        <v>0</v>
      </c>
      <c r="X815">
        <v>0</v>
      </c>
      <c r="Y815">
        <f t="shared" si="61"/>
        <v>0</v>
      </c>
      <c r="Z815">
        <f t="shared" si="62"/>
        <v>42.375599999999999</v>
      </c>
      <c r="AA815">
        <f t="shared" si="63"/>
        <v>42.375599999999999</v>
      </c>
      <c r="AB815">
        <f t="shared" si="64"/>
        <v>391.97429999999997</v>
      </c>
    </row>
    <row r="816" spans="1:28" ht="25.5" x14ac:dyDescent="0.25">
      <c r="A816" s="7">
        <v>815</v>
      </c>
      <c r="B816" s="7" t="s">
        <v>15</v>
      </c>
      <c r="C816" s="7" t="s">
        <v>116</v>
      </c>
      <c r="D816" s="7" t="s">
        <v>912</v>
      </c>
      <c r="E816" s="7"/>
      <c r="F816" s="8"/>
      <c r="G816" s="7" t="s">
        <v>912</v>
      </c>
      <c r="H816" s="9">
        <v>36.864794000000003</v>
      </c>
      <c r="I816" s="9">
        <v>10.31743</v>
      </c>
      <c r="J816" s="7" t="s">
        <v>118</v>
      </c>
      <c r="K816" s="7" t="s">
        <v>37</v>
      </c>
      <c r="L816" s="7"/>
      <c r="M816" s="10">
        <v>8.5500000000000007</v>
      </c>
      <c r="N816" s="7" t="s">
        <v>57</v>
      </c>
      <c r="O816" s="7"/>
      <c r="P816" s="8" t="s">
        <v>39</v>
      </c>
      <c r="Q816">
        <v>7.96</v>
      </c>
      <c r="R816">
        <v>39.1</v>
      </c>
      <c r="S816" t="s">
        <v>40</v>
      </c>
      <c r="T816">
        <v>8</v>
      </c>
      <c r="U816">
        <f t="shared" si="60"/>
        <v>63.68</v>
      </c>
      <c r="V816">
        <v>0.72</v>
      </c>
      <c r="W816">
        <v>160</v>
      </c>
      <c r="X816">
        <v>0.35</v>
      </c>
      <c r="Y816">
        <f t="shared" si="61"/>
        <v>56</v>
      </c>
      <c r="Z816">
        <f t="shared" si="62"/>
        <v>45.849599999999995</v>
      </c>
      <c r="AA816">
        <f t="shared" si="63"/>
        <v>0</v>
      </c>
      <c r="AB816">
        <f t="shared" si="64"/>
        <v>0</v>
      </c>
    </row>
    <row r="817" spans="1:28" ht="25.5" x14ac:dyDescent="0.25">
      <c r="A817" s="7">
        <v>816</v>
      </c>
      <c r="B817" s="7" t="s">
        <v>15</v>
      </c>
      <c r="C817" s="7" t="s">
        <v>119</v>
      </c>
      <c r="D817" s="7" t="s">
        <v>913</v>
      </c>
      <c r="E817" s="7"/>
      <c r="F817" s="8"/>
      <c r="G817" s="7" t="s">
        <v>913</v>
      </c>
      <c r="H817" s="9">
        <v>36.406709999999997</v>
      </c>
      <c r="I817" s="9">
        <v>9.5947639999999996</v>
      </c>
      <c r="J817" s="7" t="s">
        <v>121</v>
      </c>
      <c r="K817" s="7" t="s">
        <v>37</v>
      </c>
      <c r="L817" s="7"/>
      <c r="M817" s="10">
        <v>21.3</v>
      </c>
      <c r="N817" s="7" t="s">
        <v>62</v>
      </c>
      <c r="O817" s="7"/>
      <c r="P817" s="8" t="s">
        <v>39</v>
      </c>
      <c r="Q817">
        <v>5.33</v>
      </c>
      <c r="R817">
        <v>21</v>
      </c>
      <c r="S817" t="s">
        <v>53</v>
      </c>
      <c r="T817">
        <v>7</v>
      </c>
      <c r="U817">
        <f t="shared" si="60"/>
        <v>37.31</v>
      </c>
      <c r="V817">
        <v>1.26</v>
      </c>
      <c r="W817">
        <v>80</v>
      </c>
      <c r="X817">
        <v>0.35</v>
      </c>
      <c r="Y817">
        <f t="shared" si="61"/>
        <v>28</v>
      </c>
      <c r="Z817">
        <f t="shared" si="62"/>
        <v>47.010600000000004</v>
      </c>
      <c r="AA817">
        <f t="shared" si="63"/>
        <v>19.010600000000004</v>
      </c>
      <c r="AB817">
        <f t="shared" si="64"/>
        <v>404.92578000000009</v>
      </c>
    </row>
    <row r="818" spans="1:28" ht="25.5" x14ac:dyDescent="0.25">
      <c r="A818" s="7">
        <v>817</v>
      </c>
      <c r="B818" s="7" t="s">
        <v>15</v>
      </c>
      <c r="C818" s="7" t="s">
        <v>34</v>
      </c>
      <c r="D818" s="7" t="s">
        <v>914</v>
      </c>
      <c r="E818" s="7"/>
      <c r="F818" s="8"/>
      <c r="G818" s="7" t="s">
        <v>914</v>
      </c>
      <c r="H818" s="9">
        <v>36.888964000000001</v>
      </c>
      <c r="I818" s="9">
        <v>10.238462999999999</v>
      </c>
      <c r="J818" s="7" t="s">
        <v>36</v>
      </c>
      <c r="K818" s="7" t="s">
        <v>37</v>
      </c>
      <c r="L818" s="7"/>
      <c r="M818" s="10">
        <v>6.48</v>
      </c>
      <c r="N818" s="7" t="s">
        <v>66</v>
      </c>
      <c r="O818" s="7"/>
      <c r="P818" s="8" t="s">
        <v>39</v>
      </c>
      <c r="Q818">
        <v>2.83</v>
      </c>
      <c r="R818">
        <v>20.100000000000001</v>
      </c>
      <c r="S818" t="s">
        <v>53</v>
      </c>
      <c r="T818">
        <v>10</v>
      </c>
      <c r="U818">
        <f t="shared" si="60"/>
        <v>28.3</v>
      </c>
      <c r="V818">
        <v>0.92</v>
      </c>
      <c r="W818">
        <v>160</v>
      </c>
      <c r="X818">
        <v>0.35</v>
      </c>
      <c r="Y818">
        <f t="shared" si="61"/>
        <v>56</v>
      </c>
      <c r="Z818">
        <f t="shared" si="62"/>
        <v>26.036000000000001</v>
      </c>
      <c r="AA818">
        <f t="shared" si="63"/>
        <v>0</v>
      </c>
      <c r="AB818">
        <f t="shared" si="64"/>
        <v>0</v>
      </c>
    </row>
    <row r="819" spans="1:28" ht="25.5" x14ac:dyDescent="0.25">
      <c r="A819" s="7">
        <v>818</v>
      </c>
      <c r="B819" s="7" t="s">
        <v>15</v>
      </c>
      <c r="C819" s="7" t="s">
        <v>41</v>
      </c>
      <c r="D819" s="7" t="s">
        <v>915</v>
      </c>
      <c r="E819" s="7"/>
      <c r="F819" s="8"/>
      <c r="G819" s="7" t="s">
        <v>915</v>
      </c>
      <c r="H819" s="9">
        <v>36.637414999999997</v>
      </c>
      <c r="I819" s="9">
        <v>9.6063949999999991</v>
      </c>
      <c r="J819" s="7" t="s">
        <v>43</v>
      </c>
      <c r="K819" s="7" t="s">
        <v>37</v>
      </c>
      <c r="L819" s="7"/>
      <c r="M819" s="10">
        <v>9.0299999999999994</v>
      </c>
      <c r="N819" s="7" t="s">
        <v>70</v>
      </c>
      <c r="O819" s="7"/>
      <c r="P819" s="8" t="s">
        <v>39</v>
      </c>
      <c r="Q819">
        <v>6.68</v>
      </c>
      <c r="R819">
        <v>41.8</v>
      </c>
      <c r="S819" t="s">
        <v>40</v>
      </c>
      <c r="T819">
        <v>9</v>
      </c>
      <c r="U819">
        <f t="shared" si="60"/>
        <v>60.12</v>
      </c>
      <c r="V819">
        <v>0.54</v>
      </c>
      <c r="W819">
        <v>120</v>
      </c>
      <c r="X819">
        <v>0.35</v>
      </c>
      <c r="Y819">
        <f t="shared" si="61"/>
        <v>42</v>
      </c>
      <c r="Z819">
        <f t="shared" si="62"/>
        <v>32.464800000000004</v>
      </c>
      <c r="AA819">
        <f t="shared" si="63"/>
        <v>0</v>
      </c>
      <c r="AB819">
        <f t="shared" si="64"/>
        <v>0</v>
      </c>
    </row>
    <row r="820" spans="1:28" ht="25.5" x14ac:dyDescent="0.25">
      <c r="A820" s="7">
        <v>819</v>
      </c>
      <c r="B820" s="7" t="s">
        <v>15</v>
      </c>
      <c r="C820" s="7" t="s">
        <v>45</v>
      </c>
      <c r="D820" s="7" t="s">
        <v>916</v>
      </c>
      <c r="E820" s="7"/>
      <c r="F820" s="8"/>
      <c r="G820" s="7" t="s">
        <v>916</v>
      </c>
      <c r="H820" s="9">
        <v>36.599421999999997</v>
      </c>
      <c r="I820" s="9">
        <v>10.314367000000001</v>
      </c>
      <c r="J820" s="7" t="s">
        <v>47</v>
      </c>
      <c r="K820" s="7" t="s">
        <v>37</v>
      </c>
      <c r="L820" s="7"/>
      <c r="M820" s="10">
        <v>3.33</v>
      </c>
      <c r="N820" s="7" t="s">
        <v>74</v>
      </c>
      <c r="O820" s="7"/>
      <c r="P820" s="8" t="s">
        <v>39</v>
      </c>
      <c r="Q820">
        <v>4.6900000000000004</v>
      </c>
      <c r="R820">
        <v>19.100000000000001</v>
      </c>
      <c r="S820" t="s">
        <v>53</v>
      </c>
      <c r="T820">
        <v>10</v>
      </c>
      <c r="U820">
        <f t="shared" si="60"/>
        <v>46.900000000000006</v>
      </c>
      <c r="V820">
        <v>1.03</v>
      </c>
      <c r="W820">
        <v>0</v>
      </c>
      <c r="X820">
        <v>0</v>
      </c>
      <c r="Y820">
        <f t="shared" si="61"/>
        <v>0</v>
      </c>
      <c r="Z820">
        <f t="shared" si="62"/>
        <v>48.307000000000009</v>
      </c>
      <c r="AA820">
        <f t="shared" si="63"/>
        <v>48.307000000000009</v>
      </c>
      <c r="AB820">
        <f t="shared" si="64"/>
        <v>160.86231000000004</v>
      </c>
    </row>
    <row r="821" spans="1:28" ht="25.5" x14ac:dyDescent="0.25">
      <c r="A821" s="7">
        <v>820</v>
      </c>
      <c r="B821" s="7" t="s">
        <v>15</v>
      </c>
      <c r="C821" s="7" t="s">
        <v>49</v>
      </c>
      <c r="D821" s="7" t="s">
        <v>917</v>
      </c>
      <c r="E821" s="7"/>
      <c r="F821" s="8"/>
      <c r="G821" s="7" t="s">
        <v>917</v>
      </c>
      <c r="H821" s="9">
        <v>37.141027999999999</v>
      </c>
      <c r="I821" s="9">
        <v>9.8024109999999993</v>
      </c>
      <c r="J821" s="7" t="s">
        <v>51</v>
      </c>
      <c r="K821" s="7" t="s">
        <v>37</v>
      </c>
      <c r="L821" s="7"/>
      <c r="M821" s="10">
        <v>7.61</v>
      </c>
      <c r="N821" s="7" t="s">
        <v>78</v>
      </c>
      <c r="O821" s="7"/>
      <c r="P821" s="8" t="s">
        <v>39</v>
      </c>
      <c r="Q821">
        <v>2.61</v>
      </c>
      <c r="R821">
        <v>15.8</v>
      </c>
      <c r="S821" t="s">
        <v>53</v>
      </c>
      <c r="T821">
        <v>14</v>
      </c>
      <c r="U821">
        <f t="shared" si="60"/>
        <v>36.54</v>
      </c>
      <c r="V821">
        <v>1.1499999999999999</v>
      </c>
      <c r="W821">
        <v>120</v>
      </c>
      <c r="X821">
        <v>0.35</v>
      </c>
      <c r="Y821">
        <f t="shared" si="61"/>
        <v>42</v>
      </c>
      <c r="Z821">
        <f t="shared" si="62"/>
        <v>42.020999999999994</v>
      </c>
      <c r="AA821">
        <f t="shared" si="63"/>
        <v>2.099999999999369E-2</v>
      </c>
      <c r="AB821">
        <f t="shared" si="64"/>
        <v>0.15980999999995199</v>
      </c>
    </row>
    <row r="822" spans="1:28" ht="25.5" x14ac:dyDescent="0.25">
      <c r="A822" s="7">
        <v>821</v>
      </c>
      <c r="B822" s="7" t="s">
        <v>15</v>
      </c>
      <c r="C822" s="7" t="s">
        <v>54</v>
      </c>
      <c r="D822" s="7" t="s">
        <v>918</v>
      </c>
      <c r="E822" s="7"/>
      <c r="F822" s="8"/>
      <c r="G822" s="7" t="s">
        <v>918</v>
      </c>
      <c r="H822" s="9">
        <v>33.613073</v>
      </c>
      <c r="I822" s="9">
        <v>10.260486999999999</v>
      </c>
      <c r="J822" s="7" t="s">
        <v>56</v>
      </c>
      <c r="K822" s="7" t="s">
        <v>37</v>
      </c>
      <c r="L822" s="7"/>
      <c r="M822" s="10">
        <v>17.29</v>
      </c>
      <c r="N822" s="7" t="s">
        <v>38</v>
      </c>
      <c r="O822" s="7"/>
      <c r="P822" s="8" t="s">
        <v>39</v>
      </c>
      <c r="Q822">
        <v>3.26</v>
      </c>
      <c r="R822">
        <v>26.6</v>
      </c>
      <c r="S822" t="s">
        <v>58</v>
      </c>
      <c r="T822">
        <v>18</v>
      </c>
      <c r="U822">
        <f t="shared" si="60"/>
        <v>58.679999999999993</v>
      </c>
      <c r="V822">
        <v>0.9</v>
      </c>
      <c r="W822">
        <v>50</v>
      </c>
      <c r="X822">
        <v>0.35</v>
      </c>
      <c r="Y822">
        <f t="shared" si="61"/>
        <v>17.5</v>
      </c>
      <c r="Z822">
        <f t="shared" si="62"/>
        <v>52.811999999999998</v>
      </c>
      <c r="AA822">
        <f t="shared" si="63"/>
        <v>35.311999999999998</v>
      </c>
      <c r="AB822">
        <f t="shared" si="64"/>
        <v>610.54447999999991</v>
      </c>
    </row>
    <row r="823" spans="1:28" ht="25.5" x14ac:dyDescent="0.25">
      <c r="A823" s="7">
        <v>822</v>
      </c>
      <c r="B823" s="7" t="s">
        <v>15</v>
      </c>
      <c r="C823" s="7" t="s">
        <v>59</v>
      </c>
      <c r="D823" s="7" t="s">
        <v>919</v>
      </c>
      <c r="E823" s="7"/>
      <c r="F823" s="8"/>
      <c r="G823" s="7" t="s">
        <v>919</v>
      </c>
      <c r="H823" s="9">
        <v>34.325907999999998</v>
      </c>
      <c r="I823" s="9">
        <v>8.3826970000000003</v>
      </c>
      <c r="J823" s="7" t="s">
        <v>61</v>
      </c>
      <c r="K823" s="7" t="s">
        <v>37</v>
      </c>
      <c r="L823" s="7"/>
      <c r="M823" s="10">
        <v>6.21</v>
      </c>
      <c r="N823" s="7" t="s">
        <v>44</v>
      </c>
      <c r="O823" s="7"/>
      <c r="P823" s="8" t="s">
        <v>39</v>
      </c>
      <c r="Q823">
        <v>7.81</v>
      </c>
      <c r="R823">
        <v>22.5</v>
      </c>
      <c r="S823" t="s">
        <v>53</v>
      </c>
      <c r="T823">
        <v>18</v>
      </c>
      <c r="U823">
        <f t="shared" si="60"/>
        <v>140.57999999999998</v>
      </c>
      <c r="V823">
        <v>1.1499999999999999</v>
      </c>
      <c r="W823">
        <v>50</v>
      </c>
      <c r="X823">
        <v>0.35</v>
      </c>
      <c r="Y823">
        <f t="shared" si="61"/>
        <v>17.5</v>
      </c>
      <c r="Z823">
        <f t="shared" si="62"/>
        <v>161.66699999999997</v>
      </c>
      <c r="AA823">
        <f t="shared" si="63"/>
        <v>144.16699999999997</v>
      </c>
      <c r="AB823">
        <f t="shared" si="64"/>
        <v>895.27706999999987</v>
      </c>
    </row>
    <row r="824" spans="1:28" ht="25.5" x14ac:dyDescent="0.25">
      <c r="A824" s="7">
        <v>823</v>
      </c>
      <c r="B824" s="7" t="s">
        <v>15</v>
      </c>
      <c r="C824" s="7" t="s">
        <v>63</v>
      </c>
      <c r="D824" s="7" t="s">
        <v>920</v>
      </c>
      <c r="E824" s="7"/>
      <c r="F824" s="8"/>
      <c r="G824" s="7" t="s">
        <v>920</v>
      </c>
      <c r="H824" s="9">
        <v>36.942965000000001</v>
      </c>
      <c r="I824" s="9">
        <v>8.7707689999999996</v>
      </c>
      <c r="J824" s="7" t="s">
        <v>65</v>
      </c>
      <c r="K824" s="7" t="s">
        <v>37</v>
      </c>
      <c r="L824" s="7"/>
      <c r="M824" s="10">
        <v>12.28</v>
      </c>
      <c r="N824" s="7" t="s">
        <v>48</v>
      </c>
      <c r="O824" s="7"/>
      <c r="P824" s="8" t="s">
        <v>39</v>
      </c>
      <c r="Q824">
        <v>2.14</v>
      </c>
      <c r="R824">
        <v>35.200000000000003</v>
      </c>
      <c r="S824" t="s">
        <v>40</v>
      </c>
      <c r="T824">
        <v>16</v>
      </c>
      <c r="U824">
        <f t="shared" si="60"/>
        <v>34.24</v>
      </c>
      <c r="V824">
        <v>0.54</v>
      </c>
      <c r="W824">
        <v>120</v>
      </c>
      <c r="X824">
        <v>0.35</v>
      </c>
      <c r="Y824">
        <f t="shared" si="61"/>
        <v>42</v>
      </c>
      <c r="Z824">
        <f t="shared" si="62"/>
        <v>18.489600000000003</v>
      </c>
      <c r="AA824">
        <f t="shared" si="63"/>
        <v>0</v>
      </c>
      <c r="AB824">
        <f t="shared" si="64"/>
        <v>0</v>
      </c>
    </row>
    <row r="825" spans="1:28" ht="25.5" x14ac:dyDescent="0.25">
      <c r="A825" s="7">
        <v>824</v>
      </c>
      <c r="B825" s="7" t="s">
        <v>15</v>
      </c>
      <c r="C825" s="7" t="s">
        <v>67</v>
      </c>
      <c r="D825" s="7" t="s">
        <v>921</v>
      </c>
      <c r="E825" s="7"/>
      <c r="F825" s="8"/>
      <c r="G825" s="7" t="s">
        <v>921</v>
      </c>
      <c r="H825" s="9">
        <v>35.612727999999997</v>
      </c>
      <c r="I825" s="9">
        <v>9.9370910000000006</v>
      </c>
      <c r="J825" s="7" t="s">
        <v>69</v>
      </c>
      <c r="K825" s="7" t="s">
        <v>37</v>
      </c>
      <c r="L825" s="7"/>
      <c r="M825" s="10">
        <v>7.12</v>
      </c>
      <c r="N825" s="7" t="s">
        <v>52</v>
      </c>
      <c r="O825" s="7"/>
      <c r="P825" s="8" t="s">
        <v>39</v>
      </c>
      <c r="Q825">
        <v>4.0999999999999996</v>
      </c>
      <c r="R825">
        <v>32.799999999999997</v>
      </c>
      <c r="S825" t="s">
        <v>58</v>
      </c>
      <c r="T825">
        <v>12</v>
      </c>
      <c r="U825">
        <f t="shared" si="60"/>
        <v>49.199999999999996</v>
      </c>
      <c r="V825">
        <v>0.99</v>
      </c>
      <c r="W825">
        <v>0</v>
      </c>
      <c r="X825">
        <v>0</v>
      </c>
      <c r="Y825">
        <f t="shared" si="61"/>
        <v>0</v>
      </c>
      <c r="Z825">
        <f t="shared" si="62"/>
        <v>48.707999999999998</v>
      </c>
      <c r="AA825">
        <f t="shared" si="63"/>
        <v>48.707999999999998</v>
      </c>
      <c r="AB825">
        <f t="shared" si="64"/>
        <v>346.80095999999998</v>
      </c>
    </row>
    <row r="826" spans="1:28" ht="25.5" x14ac:dyDescent="0.25">
      <c r="A826" s="7">
        <v>825</v>
      </c>
      <c r="B826" s="7" t="s">
        <v>15</v>
      </c>
      <c r="C826" s="7" t="s">
        <v>71</v>
      </c>
      <c r="D826" s="7" t="s">
        <v>922</v>
      </c>
      <c r="E826" s="7"/>
      <c r="F826" s="8"/>
      <c r="G826" s="7" t="s">
        <v>922</v>
      </c>
      <c r="H826" s="9">
        <v>35.223672000000001</v>
      </c>
      <c r="I826" s="9">
        <v>9.1229110000000002</v>
      </c>
      <c r="J826" s="7" t="s">
        <v>73</v>
      </c>
      <c r="K826" s="7" t="s">
        <v>37</v>
      </c>
      <c r="L826" s="7"/>
      <c r="M826" s="10">
        <v>0.83</v>
      </c>
      <c r="N826" s="7" t="s">
        <v>57</v>
      </c>
      <c r="O826" s="7"/>
      <c r="P826" s="8" t="s">
        <v>39</v>
      </c>
      <c r="Q826">
        <v>6.91</v>
      </c>
      <c r="R826">
        <v>29.6</v>
      </c>
      <c r="S826" t="s">
        <v>58</v>
      </c>
      <c r="T826">
        <v>8</v>
      </c>
      <c r="U826">
        <f t="shared" si="60"/>
        <v>55.28</v>
      </c>
      <c r="V826">
        <v>1.08</v>
      </c>
      <c r="W826">
        <v>120</v>
      </c>
      <c r="X826">
        <v>0.35</v>
      </c>
      <c r="Y826">
        <f t="shared" si="61"/>
        <v>42</v>
      </c>
      <c r="Z826">
        <f t="shared" si="62"/>
        <v>59.702400000000004</v>
      </c>
      <c r="AA826">
        <f t="shared" si="63"/>
        <v>17.702400000000004</v>
      </c>
      <c r="AB826">
        <f t="shared" si="64"/>
        <v>14.692992000000002</v>
      </c>
    </row>
    <row r="827" spans="1:28" ht="25.5" x14ac:dyDescent="0.25">
      <c r="A827" s="7">
        <v>826</v>
      </c>
      <c r="B827" s="7" t="s">
        <v>15</v>
      </c>
      <c r="C827" s="7" t="s">
        <v>75</v>
      </c>
      <c r="D827" s="7" t="s">
        <v>923</v>
      </c>
      <c r="E827" s="7"/>
      <c r="F827" s="8"/>
      <c r="G827" s="7" t="s">
        <v>923</v>
      </c>
      <c r="H827" s="9">
        <v>33.469889000000002</v>
      </c>
      <c r="I827" s="9">
        <v>9.0337420000000002</v>
      </c>
      <c r="J827" s="7" t="s">
        <v>77</v>
      </c>
      <c r="K827" s="7" t="s">
        <v>37</v>
      </c>
      <c r="L827" s="7"/>
      <c r="M827" s="10">
        <v>1.53</v>
      </c>
      <c r="N827" s="7" t="s">
        <v>62</v>
      </c>
      <c r="O827" s="7"/>
      <c r="P827" s="8" t="s">
        <v>39</v>
      </c>
      <c r="Q827">
        <v>1.86</v>
      </c>
      <c r="R827">
        <v>42.2</v>
      </c>
      <c r="S827" t="s">
        <v>40</v>
      </c>
      <c r="T827">
        <v>7</v>
      </c>
      <c r="U827">
        <f t="shared" si="60"/>
        <v>13.020000000000001</v>
      </c>
      <c r="V827">
        <v>0.66</v>
      </c>
      <c r="W827">
        <v>0</v>
      </c>
      <c r="X827">
        <v>0</v>
      </c>
      <c r="Y827">
        <f t="shared" si="61"/>
        <v>0</v>
      </c>
      <c r="Z827">
        <f t="shared" si="62"/>
        <v>8.5932000000000013</v>
      </c>
      <c r="AA827">
        <f t="shared" si="63"/>
        <v>8.5932000000000013</v>
      </c>
      <c r="AB827">
        <f t="shared" si="64"/>
        <v>13.147596000000002</v>
      </c>
    </row>
    <row r="828" spans="1:28" ht="25.5" x14ac:dyDescent="0.25">
      <c r="A828" s="7">
        <v>827</v>
      </c>
      <c r="B828" s="7" t="s">
        <v>15</v>
      </c>
      <c r="C828" s="7" t="s">
        <v>79</v>
      </c>
      <c r="D828" s="7" t="s">
        <v>924</v>
      </c>
      <c r="E828" s="7"/>
      <c r="F828" s="8"/>
      <c r="G828" s="7" t="s">
        <v>924</v>
      </c>
      <c r="H828" s="9">
        <v>35.930441999999999</v>
      </c>
      <c r="I828" s="9">
        <v>8.8376090000000005</v>
      </c>
      <c r="J828" s="7" t="s">
        <v>81</v>
      </c>
      <c r="K828" s="7" t="s">
        <v>37</v>
      </c>
      <c r="L828" s="7"/>
      <c r="M828" s="10">
        <v>2.68</v>
      </c>
      <c r="N828" s="7" t="s">
        <v>66</v>
      </c>
      <c r="O828" s="7"/>
      <c r="P828" s="8" t="s">
        <v>39</v>
      </c>
      <c r="Q828">
        <v>2.4900000000000002</v>
      </c>
      <c r="R828">
        <v>30.7</v>
      </c>
      <c r="S828" t="s">
        <v>58</v>
      </c>
      <c r="T828">
        <v>10</v>
      </c>
      <c r="U828">
        <f t="shared" si="60"/>
        <v>24.900000000000002</v>
      </c>
      <c r="V828">
        <v>0.72</v>
      </c>
      <c r="W828">
        <v>0</v>
      </c>
      <c r="X828">
        <v>0</v>
      </c>
      <c r="Y828">
        <f t="shared" si="61"/>
        <v>0</v>
      </c>
      <c r="Z828">
        <f t="shared" si="62"/>
        <v>17.928000000000001</v>
      </c>
      <c r="AA828">
        <f t="shared" si="63"/>
        <v>17.928000000000001</v>
      </c>
      <c r="AB828">
        <f t="shared" si="64"/>
        <v>48.047040000000003</v>
      </c>
    </row>
    <row r="829" spans="1:28" ht="25.5" x14ac:dyDescent="0.25">
      <c r="A829" s="7">
        <v>828</v>
      </c>
      <c r="B829" s="7" t="s">
        <v>15</v>
      </c>
      <c r="C829" s="7" t="s">
        <v>82</v>
      </c>
      <c r="D829" s="7" t="s">
        <v>925</v>
      </c>
      <c r="E829" s="7"/>
      <c r="F829" s="8"/>
      <c r="G829" s="7" t="s">
        <v>925</v>
      </c>
      <c r="H829" s="9">
        <v>35.230353000000001</v>
      </c>
      <c r="I829" s="9">
        <v>11.124418</v>
      </c>
      <c r="J829" s="7" t="s">
        <v>84</v>
      </c>
      <c r="K829" s="7" t="s">
        <v>37</v>
      </c>
      <c r="L829" s="7"/>
      <c r="M829" s="10">
        <v>10.28</v>
      </c>
      <c r="N829" s="7" t="s">
        <v>70</v>
      </c>
      <c r="O829" s="7"/>
      <c r="P829" s="8" t="s">
        <v>39</v>
      </c>
      <c r="Q829">
        <v>2.23</v>
      </c>
      <c r="R829">
        <v>23</v>
      </c>
      <c r="S829" t="s">
        <v>53</v>
      </c>
      <c r="T829">
        <v>9</v>
      </c>
      <c r="U829">
        <f t="shared" si="60"/>
        <v>20.07</v>
      </c>
      <c r="V829">
        <v>1.03</v>
      </c>
      <c r="W829">
        <v>80</v>
      </c>
      <c r="X829">
        <v>0.35</v>
      </c>
      <c r="Y829">
        <f t="shared" si="61"/>
        <v>28</v>
      </c>
      <c r="Z829">
        <f t="shared" si="62"/>
        <v>20.6721</v>
      </c>
      <c r="AA829">
        <f t="shared" si="63"/>
        <v>0</v>
      </c>
      <c r="AB829">
        <f t="shared" si="64"/>
        <v>0</v>
      </c>
    </row>
    <row r="830" spans="1:28" ht="25.5" x14ac:dyDescent="0.25">
      <c r="A830" s="7">
        <v>829</v>
      </c>
      <c r="B830" s="7" t="s">
        <v>15</v>
      </c>
      <c r="C830" s="7" t="s">
        <v>85</v>
      </c>
      <c r="D830" s="7" t="s">
        <v>926</v>
      </c>
      <c r="E830" s="7"/>
      <c r="F830" s="8"/>
      <c r="G830" s="7" t="s">
        <v>926</v>
      </c>
      <c r="H830" s="9">
        <v>36.817289000000002</v>
      </c>
      <c r="I830" s="9">
        <v>9.8314120000000003</v>
      </c>
      <c r="J830" s="7" t="s">
        <v>87</v>
      </c>
      <c r="K830" s="7" t="s">
        <v>37</v>
      </c>
      <c r="L830" s="7"/>
      <c r="M830" s="10">
        <v>24.09</v>
      </c>
      <c r="N830" s="7" t="s">
        <v>74</v>
      </c>
      <c r="O830" s="7"/>
      <c r="P830" s="8" t="s">
        <v>39</v>
      </c>
      <c r="Q830">
        <v>4.76</v>
      </c>
      <c r="R830">
        <v>22.3</v>
      </c>
      <c r="S830" t="s">
        <v>53</v>
      </c>
      <c r="T830">
        <v>10</v>
      </c>
      <c r="U830">
        <f t="shared" si="60"/>
        <v>47.599999999999994</v>
      </c>
      <c r="V830">
        <v>1.03</v>
      </c>
      <c r="W830">
        <v>0</v>
      </c>
      <c r="X830">
        <v>0</v>
      </c>
      <c r="Y830">
        <f t="shared" si="61"/>
        <v>0</v>
      </c>
      <c r="Z830">
        <f t="shared" si="62"/>
        <v>49.027999999999999</v>
      </c>
      <c r="AA830">
        <f t="shared" si="63"/>
        <v>49.027999999999999</v>
      </c>
      <c r="AB830">
        <f t="shared" si="64"/>
        <v>1181.0845199999999</v>
      </c>
    </row>
    <row r="831" spans="1:28" ht="25.5" x14ac:dyDescent="0.25">
      <c r="A831" s="7">
        <v>830</v>
      </c>
      <c r="B831" s="7" t="s">
        <v>15</v>
      </c>
      <c r="C831" s="7" t="s">
        <v>88</v>
      </c>
      <c r="D831" s="7" t="s">
        <v>927</v>
      </c>
      <c r="E831" s="7"/>
      <c r="F831" s="8"/>
      <c r="G831" s="7" t="s">
        <v>927</v>
      </c>
      <c r="H831" s="9">
        <v>33.807431000000001</v>
      </c>
      <c r="I831" s="9">
        <v>11.006539999999999</v>
      </c>
      <c r="J831" s="7" t="s">
        <v>90</v>
      </c>
      <c r="K831" s="7" t="s">
        <v>37</v>
      </c>
      <c r="L831" s="7"/>
      <c r="M831" s="10">
        <v>2.4</v>
      </c>
      <c r="N831" s="7" t="s">
        <v>78</v>
      </c>
      <c r="O831" s="7"/>
      <c r="P831" s="8" t="s">
        <v>39</v>
      </c>
      <c r="Q831">
        <v>5.73</v>
      </c>
      <c r="R831">
        <v>14</v>
      </c>
      <c r="S831" t="s">
        <v>91</v>
      </c>
      <c r="T831">
        <v>14</v>
      </c>
      <c r="U831">
        <f t="shared" si="60"/>
        <v>80.22</v>
      </c>
      <c r="V831">
        <v>1.35</v>
      </c>
      <c r="W831">
        <v>120</v>
      </c>
      <c r="X831">
        <v>0.35</v>
      </c>
      <c r="Y831">
        <f t="shared" si="61"/>
        <v>42</v>
      </c>
      <c r="Z831">
        <f t="shared" si="62"/>
        <v>108.29700000000001</v>
      </c>
      <c r="AA831">
        <f t="shared" si="63"/>
        <v>66.297000000000011</v>
      </c>
      <c r="AB831">
        <f t="shared" si="64"/>
        <v>159.11280000000002</v>
      </c>
    </row>
    <row r="832" spans="1:28" ht="25.5" x14ac:dyDescent="0.25">
      <c r="A832" s="7">
        <v>831</v>
      </c>
      <c r="B832" s="7" t="s">
        <v>15</v>
      </c>
      <c r="C832" s="7" t="s">
        <v>92</v>
      </c>
      <c r="D832" s="7" t="s">
        <v>928</v>
      </c>
      <c r="E832" s="7"/>
      <c r="F832" s="8"/>
      <c r="G832" s="7" t="s">
        <v>928</v>
      </c>
      <c r="H832" s="9">
        <v>35.602252</v>
      </c>
      <c r="I832" s="9">
        <v>10.729721</v>
      </c>
      <c r="J832" s="7" t="s">
        <v>94</v>
      </c>
      <c r="K832" s="7" t="s">
        <v>37</v>
      </c>
      <c r="L832" s="7"/>
      <c r="M832" s="10">
        <v>6.81</v>
      </c>
      <c r="N832" s="7" t="s">
        <v>38</v>
      </c>
      <c r="O832" s="7"/>
      <c r="P832" s="8" t="s">
        <v>39</v>
      </c>
      <c r="Q832">
        <v>5.12</v>
      </c>
      <c r="R832">
        <v>34.200000000000003</v>
      </c>
      <c r="S832" t="s">
        <v>58</v>
      </c>
      <c r="T832">
        <v>18</v>
      </c>
      <c r="U832">
        <f t="shared" si="60"/>
        <v>92.16</v>
      </c>
      <c r="V832">
        <v>0.9</v>
      </c>
      <c r="W832">
        <v>0</v>
      </c>
      <c r="X832">
        <v>0</v>
      </c>
      <c r="Y832">
        <f t="shared" si="61"/>
        <v>0</v>
      </c>
      <c r="Z832">
        <f t="shared" si="62"/>
        <v>82.944000000000003</v>
      </c>
      <c r="AA832">
        <f t="shared" si="63"/>
        <v>82.944000000000003</v>
      </c>
      <c r="AB832">
        <f t="shared" si="64"/>
        <v>564.84863999999993</v>
      </c>
    </row>
    <row r="833" spans="1:28" ht="25.5" x14ac:dyDescent="0.25">
      <c r="A833" s="7">
        <v>832</v>
      </c>
      <c r="B833" s="7" t="s">
        <v>15</v>
      </c>
      <c r="C833" s="7" t="s">
        <v>95</v>
      </c>
      <c r="D833" s="7" t="s">
        <v>929</v>
      </c>
      <c r="E833" s="7"/>
      <c r="F833" s="8"/>
      <c r="G833" s="7" t="s">
        <v>929</v>
      </c>
      <c r="H833" s="9">
        <v>36.572066</v>
      </c>
      <c r="I833" s="9">
        <v>10.883177999999999</v>
      </c>
      <c r="J833" s="7" t="s">
        <v>97</v>
      </c>
      <c r="K833" s="7" t="s">
        <v>37</v>
      </c>
      <c r="L833" s="7"/>
      <c r="M833" s="10">
        <v>5.85</v>
      </c>
      <c r="N833" s="7" t="s">
        <v>44</v>
      </c>
      <c r="O833" s="7"/>
      <c r="P833" s="8" t="s">
        <v>39</v>
      </c>
      <c r="Q833">
        <v>3.54</v>
      </c>
      <c r="R833">
        <v>15.7</v>
      </c>
      <c r="S833" t="s">
        <v>53</v>
      </c>
      <c r="T833">
        <v>18</v>
      </c>
      <c r="U833">
        <f t="shared" si="60"/>
        <v>63.72</v>
      </c>
      <c r="V833">
        <v>1.1499999999999999</v>
      </c>
      <c r="W833">
        <v>120</v>
      </c>
      <c r="X833">
        <v>0.35</v>
      </c>
      <c r="Y833">
        <f t="shared" si="61"/>
        <v>42</v>
      </c>
      <c r="Z833">
        <f t="shared" si="62"/>
        <v>73.277999999999992</v>
      </c>
      <c r="AA833">
        <f t="shared" si="63"/>
        <v>31.277999999999992</v>
      </c>
      <c r="AB833">
        <f t="shared" si="64"/>
        <v>182.97629999999995</v>
      </c>
    </row>
    <row r="834" spans="1:28" ht="25.5" x14ac:dyDescent="0.25">
      <c r="A834" s="7">
        <v>833</v>
      </c>
      <c r="B834" s="7" t="s">
        <v>15</v>
      </c>
      <c r="C834" s="7" t="s">
        <v>98</v>
      </c>
      <c r="D834" s="7" t="s">
        <v>930</v>
      </c>
      <c r="E834" s="7"/>
      <c r="F834" s="8"/>
      <c r="G834" s="7" t="s">
        <v>930</v>
      </c>
      <c r="H834" s="9">
        <v>34.765743999999998</v>
      </c>
      <c r="I834" s="9">
        <v>10.48141</v>
      </c>
      <c r="J834" s="7" t="s">
        <v>100</v>
      </c>
      <c r="K834" s="7" t="s">
        <v>37</v>
      </c>
      <c r="L834" s="7"/>
      <c r="M834" s="10">
        <v>0.9</v>
      </c>
      <c r="N834" s="7" t="s">
        <v>48</v>
      </c>
      <c r="O834" s="7"/>
      <c r="P834" s="8" t="s">
        <v>39</v>
      </c>
      <c r="Q834">
        <v>6.79</v>
      </c>
      <c r="R834">
        <v>10</v>
      </c>
      <c r="S834" t="s">
        <v>91</v>
      </c>
      <c r="T834">
        <v>16</v>
      </c>
      <c r="U834">
        <f t="shared" ref="U834:U897" si="65">Q834*T834</f>
        <v>108.64</v>
      </c>
      <c r="V834">
        <v>1.22</v>
      </c>
      <c r="W834">
        <v>0</v>
      </c>
      <c r="X834">
        <v>0</v>
      </c>
      <c r="Y834">
        <f t="shared" ref="Y834:Y897" si="66">W834*X834</f>
        <v>0</v>
      </c>
      <c r="Z834">
        <f t="shared" ref="Z834:Z897" si="67">U834*V834</f>
        <v>132.54079999999999</v>
      </c>
      <c r="AA834">
        <f t="shared" ref="AA834:AA897" si="68">MAX(0,Z834-Y834)</f>
        <v>132.54079999999999</v>
      </c>
      <c r="AB834">
        <f t="shared" si="64"/>
        <v>119.28671999999999</v>
      </c>
    </row>
    <row r="835" spans="1:28" ht="25.5" x14ac:dyDescent="0.25">
      <c r="A835" s="7">
        <v>834</v>
      </c>
      <c r="B835" s="7" t="s">
        <v>15</v>
      </c>
      <c r="C835" s="7" t="s">
        <v>101</v>
      </c>
      <c r="D835" s="7" t="s">
        <v>931</v>
      </c>
      <c r="E835" s="7"/>
      <c r="F835" s="8"/>
      <c r="G835" s="7" t="s">
        <v>931</v>
      </c>
      <c r="H835" s="9">
        <v>34.920920000000002</v>
      </c>
      <c r="I835" s="9">
        <v>9.7952320000000004</v>
      </c>
      <c r="J835" s="7" t="s">
        <v>103</v>
      </c>
      <c r="K835" s="7" t="s">
        <v>37</v>
      </c>
      <c r="L835" s="7"/>
      <c r="M835" s="10">
        <v>1.67</v>
      </c>
      <c r="N835" s="7" t="s">
        <v>52</v>
      </c>
      <c r="O835" s="7"/>
      <c r="P835" s="8" t="s">
        <v>39</v>
      </c>
      <c r="Q835">
        <v>5.6</v>
      </c>
      <c r="R835">
        <v>20.3</v>
      </c>
      <c r="S835" t="s">
        <v>53</v>
      </c>
      <c r="T835">
        <v>12</v>
      </c>
      <c r="U835">
        <f t="shared" si="65"/>
        <v>67.199999999999989</v>
      </c>
      <c r="V835">
        <v>1.26</v>
      </c>
      <c r="W835">
        <v>160</v>
      </c>
      <c r="X835">
        <v>0.35</v>
      </c>
      <c r="Y835">
        <f t="shared" si="66"/>
        <v>56</v>
      </c>
      <c r="Z835">
        <f t="shared" si="67"/>
        <v>84.671999999999983</v>
      </c>
      <c r="AA835">
        <f t="shared" si="68"/>
        <v>28.671999999999983</v>
      </c>
      <c r="AB835">
        <f t="shared" ref="AB835:AB898" si="69">AA835*M835</f>
        <v>47.882239999999967</v>
      </c>
    </row>
    <row r="836" spans="1:28" ht="25.5" x14ac:dyDescent="0.25">
      <c r="A836" s="7">
        <v>835</v>
      </c>
      <c r="B836" s="7" t="s">
        <v>15</v>
      </c>
      <c r="C836" s="7" t="s">
        <v>104</v>
      </c>
      <c r="D836" s="7" t="s">
        <v>932</v>
      </c>
      <c r="E836" s="7"/>
      <c r="F836" s="8"/>
      <c r="G836" s="7" t="s">
        <v>932</v>
      </c>
      <c r="H836" s="9">
        <v>35.866644000000001</v>
      </c>
      <c r="I836" s="9">
        <v>9.2081510000000009</v>
      </c>
      <c r="J836" s="7" t="s">
        <v>106</v>
      </c>
      <c r="K836" s="7" t="s">
        <v>37</v>
      </c>
      <c r="L836" s="7"/>
      <c r="M836" s="10">
        <v>13.74</v>
      </c>
      <c r="N836" s="7" t="s">
        <v>57</v>
      </c>
      <c r="O836" s="7"/>
      <c r="P836" s="8" t="s">
        <v>39</v>
      </c>
      <c r="Q836">
        <v>5.18</v>
      </c>
      <c r="R836">
        <v>36.299999999999997</v>
      </c>
      <c r="S836" t="s">
        <v>40</v>
      </c>
      <c r="T836">
        <v>8</v>
      </c>
      <c r="U836">
        <f t="shared" si="65"/>
        <v>41.44</v>
      </c>
      <c r="V836">
        <v>0.72</v>
      </c>
      <c r="W836">
        <v>0</v>
      </c>
      <c r="X836">
        <v>0</v>
      </c>
      <c r="Y836">
        <f t="shared" si="66"/>
        <v>0</v>
      </c>
      <c r="Z836">
        <f t="shared" si="67"/>
        <v>29.836799999999997</v>
      </c>
      <c r="AA836">
        <f t="shared" si="68"/>
        <v>29.836799999999997</v>
      </c>
      <c r="AB836">
        <f t="shared" si="69"/>
        <v>409.95763199999993</v>
      </c>
    </row>
    <row r="837" spans="1:28" ht="25.5" x14ac:dyDescent="0.25">
      <c r="A837" s="7">
        <v>836</v>
      </c>
      <c r="B837" s="7" t="s">
        <v>15</v>
      </c>
      <c r="C837" s="7" t="s">
        <v>107</v>
      </c>
      <c r="D837" s="7" t="s">
        <v>933</v>
      </c>
      <c r="E837" s="7"/>
      <c r="F837" s="8"/>
      <c r="G837" s="7" t="s">
        <v>933</v>
      </c>
      <c r="H837" s="9">
        <v>36.118577999999999</v>
      </c>
      <c r="I837" s="9">
        <v>10.375451999999999</v>
      </c>
      <c r="J837" s="7" t="s">
        <v>109</v>
      </c>
      <c r="K837" s="7" t="s">
        <v>37</v>
      </c>
      <c r="L837" s="7"/>
      <c r="M837" s="10">
        <v>23.98</v>
      </c>
      <c r="N837" s="7" t="s">
        <v>62</v>
      </c>
      <c r="O837" s="7"/>
      <c r="P837" s="8" t="s">
        <v>39</v>
      </c>
      <c r="Q837">
        <v>6.05</v>
      </c>
      <c r="R837">
        <v>20.7</v>
      </c>
      <c r="S837" t="s">
        <v>53</v>
      </c>
      <c r="T837">
        <v>7</v>
      </c>
      <c r="U837">
        <f t="shared" si="65"/>
        <v>42.35</v>
      </c>
      <c r="V837">
        <v>1.26</v>
      </c>
      <c r="W837">
        <v>80</v>
      </c>
      <c r="X837">
        <v>0.35</v>
      </c>
      <c r="Y837">
        <f t="shared" si="66"/>
        <v>28</v>
      </c>
      <c r="Z837">
        <f t="shared" si="67"/>
        <v>53.361000000000004</v>
      </c>
      <c r="AA837">
        <f t="shared" si="68"/>
        <v>25.361000000000004</v>
      </c>
      <c r="AB837">
        <f t="shared" si="69"/>
        <v>608.15678000000014</v>
      </c>
    </row>
    <row r="838" spans="1:28" ht="25.5" x14ac:dyDescent="0.25">
      <c r="A838" s="7">
        <v>837</v>
      </c>
      <c r="B838" s="7" t="s">
        <v>15</v>
      </c>
      <c r="C838" s="7" t="s">
        <v>110</v>
      </c>
      <c r="D838" s="7" t="s">
        <v>934</v>
      </c>
      <c r="E838" s="7"/>
      <c r="F838" s="8"/>
      <c r="G838" s="7" t="s">
        <v>934</v>
      </c>
      <c r="H838" s="9">
        <v>33.163955000000001</v>
      </c>
      <c r="I838" s="9">
        <v>10.22437</v>
      </c>
      <c r="J838" s="7" t="s">
        <v>112</v>
      </c>
      <c r="K838" s="7" t="s">
        <v>37</v>
      </c>
      <c r="L838" s="7"/>
      <c r="M838" s="10">
        <v>9.09</v>
      </c>
      <c r="N838" s="7" t="s">
        <v>66</v>
      </c>
      <c r="O838" s="7"/>
      <c r="P838" s="8" t="s">
        <v>39</v>
      </c>
      <c r="Q838">
        <v>7.05</v>
      </c>
      <c r="R838">
        <v>29.9</v>
      </c>
      <c r="S838" t="s">
        <v>58</v>
      </c>
      <c r="T838">
        <v>10</v>
      </c>
      <c r="U838">
        <f t="shared" si="65"/>
        <v>70.5</v>
      </c>
      <c r="V838">
        <v>0.72</v>
      </c>
      <c r="W838">
        <v>80</v>
      </c>
      <c r="X838">
        <v>0.35</v>
      </c>
      <c r="Y838">
        <f t="shared" si="66"/>
        <v>28</v>
      </c>
      <c r="Z838">
        <f t="shared" si="67"/>
        <v>50.76</v>
      </c>
      <c r="AA838">
        <f t="shared" si="68"/>
        <v>22.759999999999998</v>
      </c>
      <c r="AB838">
        <f t="shared" si="69"/>
        <v>206.88839999999999</v>
      </c>
    </row>
    <row r="839" spans="1:28" ht="25.5" x14ac:dyDescent="0.25">
      <c r="A839" s="7">
        <v>838</v>
      </c>
      <c r="B839" s="7" t="s">
        <v>15</v>
      </c>
      <c r="C839" s="7" t="s">
        <v>113</v>
      </c>
      <c r="D839" s="7" t="s">
        <v>935</v>
      </c>
      <c r="E839" s="7"/>
      <c r="F839" s="8"/>
      <c r="G839" s="7" t="s">
        <v>935</v>
      </c>
      <c r="H839" s="9">
        <v>33.875062</v>
      </c>
      <c r="I839" s="9">
        <v>7.8685070000000001</v>
      </c>
      <c r="J839" s="7" t="s">
        <v>115</v>
      </c>
      <c r="K839" s="7" t="s">
        <v>37</v>
      </c>
      <c r="L839" s="7"/>
      <c r="M839" s="10">
        <v>21.48</v>
      </c>
      <c r="N839" s="7" t="s">
        <v>70</v>
      </c>
      <c r="O839" s="7"/>
      <c r="P839" s="8" t="s">
        <v>39</v>
      </c>
      <c r="Q839">
        <v>7.47</v>
      </c>
      <c r="R839">
        <v>23.9</v>
      </c>
      <c r="S839" t="s">
        <v>53</v>
      </c>
      <c r="T839">
        <v>9</v>
      </c>
      <c r="U839">
        <f t="shared" si="65"/>
        <v>67.23</v>
      </c>
      <c r="V839">
        <v>1.03</v>
      </c>
      <c r="W839">
        <v>120</v>
      </c>
      <c r="X839">
        <v>0.35</v>
      </c>
      <c r="Y839">
        <f t="shared" si="66"/>
        <v>42</v>
      </c>
      <c r="Z839">
        <f t="shared" si="67"/>
        <v>69.246900000000011</v>
      </c>
      <c r="AA839">
        <f t="shared" si="68"/>
        <v>27.246900000000011</v>
      </c>
      <c r="AB839">
        <f t="shared" si="69"/>
        <v>585.26341200000024</v>
      </c>
    </row>
    <row r="840" spans="1:28" ht="25.5" x14ac:dyDescent="0.25">
      <c r="A840" s="7">
        <v>839</v>
      </c>
      <c r="B840" s="7" t="s">
        <v>15</v>
      </c>
      <c r="C840" s="7" t="s">
        <v>116</v>
      </c>
      <c r="D840" s="7" t="s">
        <v>936</v>
      </c>
      <c r="E840" s="7"/>
      <c r="F840" s="8"/>
      <c r="G840" s="7" t="s">
        <v>936</v>
      </c>
      <c r="H840" s="9">
        <v>36.870440000000002</v>
      </c>
      <c r="I840" s="9">
        <v>10.345440999999999</v>
      </c>
      <c r="J840" s="7" t="s">
        <v>118</v>
      </c>
      <c r="K840" s="7" t="s">
        <v>37</v>
      </c>
      <c r="L840" s="7"/>
      <c r="M840" s="10">
        <v>21.07</v>
      </c>
      <c r="N840" s="7" t="s">
        <v>74</v>
      </c>
      <c r="O840" s="7"/>
      <c r="P840" s="8" t="s">
        <v>39</v>
      </c>
      <c r="Q840">
        <v>5.13</v>
      </c>
      <c r="R840">
        <v>35.4</v>
      </c>
      <c r="S840" t="s">
        <v>40</v>
      </c>
      <c r="T840">
        <v>10</v>
      </c>
      <c r="U840">
        <f t="shared" si="65"/>
        <v>51.3</v>
      </c>
      <c r="V840">
        <v>0.54</v>
      </c>
      <c r="W840">
        <v>0</v>
      </c>
      <c r="X840">
        <v>0</v>
      </c>
      <c r="Y840">
        <f t="shared" si="66"/>
        <v>0</v>
      </c>
      <c r="Z840">
        <f t="shared" si="67"/>
        <v>27.702000000000002</v>
      </c>
      <c r="AA840">
        <f t="shared" si="68"/>
        <v>27.702000000000002</v>
      </c>
      <c r="AB840">
        <f t="shared" si="69"/>
        <v>583.68114000000003</v>
      </c>
    </row>
    <row r="841" spans="1:28" ht="25.5" x14ac:dyDescent="0.25">
      <c r="A841" s="7">
        <v>840</v>
      </c>
      <c r="B841" s="7" t="s">
        <v>15</v>
      </c>
      <c r="C841" s="7" t="s">
        <v>119</v>
      </c>
      <c r="D841" s="7" t="s">
        <v>937</v>
      </c>
      <c r="E841" s="7"/>
      <c r="F841" s="8"/>
      <c r="G841" s="7" t="s">
        <v>937</v>
      </c>
      <c r="H841" s="9">
        <v>36.367963000000003</v>
      </c>
      <c r="I841" s="9">
        <v>9.6000460000000007</v>
      </c>
      <c r="J841" s="7" t="s">
        <v>121</v>
      </c>
      <c r="K841" s="7" t="s">
        <v>37</v>
      </c>
      <c r="L841" s="7"/>
      <c r="M841" s="10">
        <v>18.3</v>
      </c>
      <c r="N841" s="7" t="s">
        <v>78</v>
      </c>
      <c r="O841" s="7"/>
      <c r="P841" s="8" t="s">
        <v>39</v>
      </c>
      <c r="Q841">
        <v>5.0999999999999996</v>
      </c>
      <c r="R841">
        <v>30.6</v>
      </c>
      <c r="S841" t="s">
        <v>58</v>
      </c>
      <c r="T841">
        <v>14</v>
      </c>
      <c r="U841">
        <f t="shared" si="65"/>
        <v>71.399999999999991</v>
      </c>
      <c r="V841">
        <v>0.9</v>
      </c>
      <c r="W841">
        <v>50</v>
      </c>
      <c r="X841">
        <v>0.35</v>
      </c>
      <c r="Y841">
        <f t="shared" si="66"/>
        <v>17.5</v>
      </c>
      <c r="Z841">
        <f t="shared" si="67"/>
        <v>64.259999999999991</v>
      </c>
      <c r="AA841">
        <f t="shared" si="68"/>
        <v>46.759999999999991</v>
      </c>
      <c r="AB841">
        <f t="shared" si="69"/>
        <v>855.70799999999986</v>
      </c>
    </row>
    <row r="842" spans="1:28" ht="25.5" x14ac:dyDescent="0.25">
      <c r="A842" s="7">
        <v>841</v>
      </c>
      <c r="B842" s="7" t="s">
        <v>15</v>
      </c>
      <c r="C842" s="7" t="s">
        <v>34</v>
      </c>
      <c r="D842" s="7" t="s">
        <v>938</v>
      </c>
      <c r="E842" s="7"/>
      <c r="F842" s="8"/>
      <c r="G842" s="7" t="s">
        <v>938</v>
      </c>
      <c r="H842" s="9">
        <v>36.916406000000002</v>
      </c>
      <c r="I842" s="9">
        <v>10.217767</v>
      </c>
      <c r="J842" s="7" t="s">
        <v>36</v>
      </c>
      <c r="K842" s="7" t="s">
        <v>37</v>
      </c>
      <c r="L842" s="7"/>
      <c r="M842" s="10">
        <v>19.100000000000001</v>
      </c>
      <c r="N842" s="7" t="s">
        <v>38</v>
      </c>
      <c r="O842" s="7"/>
      <c r="P842" s="8" t="s">
        <v>39</v>
      </c>
      <c r="Q842">
        <v>2.61</v>
      </c>
      <c r="R842">
        <v>22.1</v>
      </c>
      <c r="S842" t="s">
        <v>53</v>
      </c>
      <c r="T842">
        <v>18</v>
      </c>
      <c r="U842">
        <f t="shared" si="65"/>
        <v>46.98</v>
      </c>
      <c r="V842">
        <v>1.1499999999999999</v>
      </c>
      <c r="W842">
        <v>50</v>
      </c>
      <c r="X842">
        <v>0.35</v>
      </c>
      <c r="Y842">
        <f t="shared" si="66"/>
        <v>17.5</v>
      </c>
      <c r="Z842">
        <f t="shared" si="67"/>
        <v>54.026999999999994</v>
      </c>
      <c r="AA842">
        <f t="shared" si="68"/>
        <v>36.526999999999994</v>
      </c>
      <c r="AB842">
        <f t="shared" si="69"/>
        <v>697.6656999999999</v>
      </c>
    </row>
    <row r="843" spans="1:28" ht="25.5" x14ac:dyDescent="0.25">
      <c r="A843" s="7">
        <v>842</v>
      </c>
      <c r="B843" s="7" t="s">
        <v>15</v>
      </c>
      <c r="C843" s="7" t="s">
        <v>41</v>
      </c>
      <c r="D843" s="7" t="s">
        <v>939</v>
      </c>
      <c r="E843" s="7"/>
      <c r="F843" s="8"/>
      <c r="G843" s="7" t="s">
        <v>939</v>
      </c>
      <c r="H843" s="9">
        <v>36.63485</v>
      </c>
      <c r="I843" s="9">
        <v>9.5925200000000004</v>
      </c>
      <c r="J843" s="7" t="s">
        <v>43</v>
      </c>
      <c r="K843" s="7" t="s">
        <v>37</v>
      </c>
      <c r="L843" s="7"/>
      <c r="M843" s="10">
        <v>20.43</v>
      </c>
      <c r="N843" s="7" t="s">
        <v>44</v>
      </c>
      <c r="O843" s="7"/>
      <c r="P843" s="8" t="s">
        <v>39</v>
      </c>
      <c r="Q843">
        <v>6.08</v>
      </c>
      <c r="R843">
        <v>13.7</v>
      </c>
      <c r="S843" t="s">
        <v>91</v>
      </c>
      <c r="T843">
        <v>18</v>
      </c>
      <c r="U843">
        <f t="shared" si="65"/>
        <v>109.44</v>
      </c>
      <c r="V843">
        <v>1.35</v>
      </c>
      <c r="W843">
        <v>80</v>
      </c>
      <c r="X843">
        <v>0.35</v>
      </c>
      <c r="Y843">
        <f t="shared" si="66"/>
        <v>28</v>
      </c>
      <c r="Z843">
        <f t="shared" si="67"/>
        <v>147.744</v>
      </c>
      <c r="AA843">
        <f t="shared" si="68"/>
        <v>119.744</v>
      </c>
      <c r="AB843">
        <f t="shared" si="69"/>
        <v>2446.3699200000001</v>
      </c>
    </row>
    <row r="844" spans="1:28" ht="25.5" x14ac:dyDescent="0.25">
      <c r="A844" s="7">
        <v>843</v>
      </c>
      <c r="B844" s="7" t="s">
        <v>15</v>
      </c>
      <c r="C844" s="7" t="s">
        <v>45</v>
      </c>
      <c r="D844" s="7" t="s">
        <v>940</v>
      </c>
      <c r="E844" s="7"/>
      <c r="F844" s="8"/>
      <c r="G844" s="7" t="s">
        <v>940</v>
      </c>
      <c r="H844" s="9">
        <v>36.611694</v>
      </c>
      <c r="I844" s="9">
        <v>10.338202000000001</v>
      </c>
      <c r="J844" s="7" t="s">
        <v>47</v>
      </c>
      <c r="K844" s="7" t="s">
        <v>37</v>
      </c>
      <c r="L844" s="7"/>
      <c r="M844" s="10">
        <v>9.34</v>
      </c>
      <c r="N844" s="7" t="s">
        <v>48</v>
      </c>
      <c r="O844" s="7"/>
      <c r="P844" s="8" t="s">
        <v>39</v>
      </c>
      <c r="Q844">
        <v>4.29</v>
      </c>
      <c r="R844">
        <v>25.9</v>
      </c>
      <c r="S844" t="s">
        <v>58</v>
      </c>
      <c r="T844">
        <v>16</v>
      </c>
      <c r="U844">
        <f t="shared" si="65"/>
        <v>68.64</v>
      </c>
      <c r="V844">
        <v>0.81</v>
      </c>
      <c r="W844">
        <v>0</v>
      </c>
      <c r="X844">
        <v>0</v>
      </c>
      <c r="Y844">
        <f t="shared" si="66"/>
        <v>0</v>
      </c>
      <c r="Z844">
        <f t="shared" si="67"/>
        <v>55.598400000000005</v>
      </c>
      <c r="AA844">
        <f t="shared" si="68"/>
        <v>55.598400000000005</v>
      </c>
      <c r="AB844">
        <f t="shared" si="69"/>
        <v>519.28905600000007</v>
      </c>
    </row>
    <row r="845" spans="1:28" ht="25.5" x14ac:dyDescent="0.25">
      <c r="A845" s="7">
        <v>844</v>
      </c>
      <c r="B845" s="7" t="s">
        <v>15</v>
      </c>
      <c r="C845" s="7" t="s">
        <v>49</v>
      </c>
      <c r="D845" s="7" t="s">
        <v>941</v>
      </c>
      <c r="E845" s="7"/>
      <c r="F845" s="8"/>
      <c r="G845" s="7" t="s">
        <v>941</v>
      </c>
      <c r="H845" s="9">
        <v>37.157423999999999</v>
      </c>
      <c r="I845" s="9">
        <v>9.7712979999999998</v>
      </c>
      <c r="J845" s="7" t="s">
        <v>51</v>
      </c>
      <c r="K845" s="7" t="s">
        <v>37</v>
      </c>
      <c r="L845" s="7"/>
      <c r="M845" s="10">
        <v>4.93</v>
      </c>
      <c r="N845" s="7" t="s">
        <v>52</v>
      </c>
      <c r="O845" s="7"/>
      <c r="P845" s="8" t="s">
        <v>39</v>
      </c>
      <c r="Q845">
        <v>7.78</v>
      </c>
      <c r="R845">
        <v>19.5</v>
      </c>
      <c r="S845" t="s">
        <v>53</v>
      </c>
      <c r="T845">
        <v>12</v>
      </c>
      <c r="U845">
        <f t="shared" si="65"/>
        <v>93.36</v>
      </c>
      <c r="V845">
        <v>1.26</v>
      </c>
      <c r="W845">
        <v>0</v>
      </c>
      <c r="X845">
        <v>0</v>
      </c>
      <c r="Y845">
        <f t="shared" si="66"/>
        <v>0</v>
      </c>
      <c r="Z845">
        <f t="shared" si="67"/>
        <v>117.6336</v>
      </c>
      <c r="AA845">
        <f t="shared" si="68"/>
        <v>117.6336</v>
      </c>
      <c r="AB845">
        <f t="shared" si="69"/>
        <v>579.93364799999995</v>
      </c>
    </row>
    <row r="846" spans="1:28" ht="25.5" x14ac:dyDescent="0.25">
      <c r="A846" s="7">
        <v>845</v>
      </c>
      <c r="B846" s="7" t="s">
        <v>15</v>
      </c>
      <c r="C846" s="7" t="s">
        <v>54</v>
      </c>
      <c r="D846" s="7" t="s">
        <v>942</v>
      </c>
      <c r="E846" s="7"/>
      <c r="F846" s="8"/>
      <c r="G846" s="7" t="s">
        <v>942</v>
      </c>
      <c r="H846" s="9">
        <v>33.629489</v>
      </c>
      <c r="I846" s="9">
        <v>10.298586999999999</v>
      </c>
      <c r="J846" s="7" t="s">
        <v>56</v>
      </c>
      <c r="K846" s="7" t="s">
        <v>37</v>
      </c>
      <c r="L846" s="7"/>
      <c r="M846" s="10">
        <v>13.5</v>
      </c>
      <c r="N846" s="7" t="s">
        <v>57</v>
      </c>
      <c r="O846" s="7"/>
      <c r="P846" s="8" t="s">
        <v>39</v>
      </c>
      <c r="Q846">
        <v>7.85</v>
      </c>
      <c r="R846">
        <v>26</v>
      </c>
      <c r="S846" t="s">
        <v>58</v>
      </c>
      <c r="T846">
        <v>8</v>
      </c>
      <c r="U846">
        <f t="shared" si="65"/>
        <v>62.8</v>
      </c>
      <c r="V846">
        <v>1.08</v>
      </c>
      <c r="W846">
        <v>0</v>
      </c>
      <c r="X846">
        <v>0</v>
      </c>
      <c r="Y846">
        <f t="shared" si="66"/>
        <v>0</v>
      </c>
      <c r="Z846">
        <f t="shared" si="67"/>
        <v>67.823999999999998</v>
      </c>
      <c r="AA846">
        <f t="shared" si="68"/>
        <v>67.823999999999998</v>
      </c>
      <c r="AB846">
        <f t="shared" si="69"/>
        <v>915.62400000000002</v>
      </c>
    </row>
    <row r="847" spans="1:28" ht="25.5" x14ac:dyDescent="0.25">
      <c r="A847" s="7">
        <v>846</v>
      </c>
      <c r="B847" s="7" t="s">
        <v>15</v>
      </c>
      <c r="C847" s="7" t="s">
        <v>59</v>
      </c>
      <c r="D847" s="7" t="s">
        <v>943</v>
      </c>
      <c r="E847" s="7"/>
      <c r="F847" s="8"/>
      <c r="G847" s="7" t="s">
        <v>943</v>
      </c>
      <c r="H847" s="9">
        <v>34.337977000000002</v>
      </c>
      <c r="I847" s="9">
        <v>8.4076799999999992</v>
      </c>
      <c r="J847" s="7" t="s">
        <v>61</v>
      </c>
      <c r="K847" s="7" t="s">
        <v>37</v>
      </c>
      <c r="L847" s="7"/>
      <c r="M847" s="10">
        <v>5.0999999999999996</v>
      </c>
      <c r="N847" s="7" t="s">
        <v>62</v>
      </c>
      <c r="O847" s="7"/>
      <c r="P847" s="8" t="s">
        <v>39</v>
      </c>
      <c r="Q847">
        <v>5.14</v>
      </c>
      <c r="R847">
        <v>39.6</v>
      </c>
      <c r="S847" t="s">
        <v>40</v>
      </c>
      <c r="T847">
        <v>7</v>
      </c>
      <c r="U847">
        <f t="shared" si="65"/>
        <v>35.979999999999997</v>
      </c>
      <c r="V847">
        <v>0.66</v>
      </c>
      <c r="W847">
        <v>0</v>
      </c>
      <c r="X847">
        <v>0</v>
      </c>
      <c r="Y847">
        <f t="shared" si="66"/>
        <v>0</v>
      </c>
      <c r="Z847">
        <f t="shared" si="67"/>
        <v>23.7468</v>
      </c>
      <c r="AA847">
        <f t="shared" si="68"/>
        <v>23.7468</v>
      </c>
      <c r="AB847">
        <f t="shared" si="69"/>
        <v>121.10867999999999</v>
      </c>
    </row>
    <row r="848" spans="1:28" ht="25.5" x14ac:dyDescent="0.25">
      <c r="A848" s="7">
        <v>847</v>
      </c>
      <c r="B848" s="7" t="s">
        <v>15</v>
      </c>
      <c r="C848" s="7" t="s">
        <v>63</v>
      </c>
      <c r="D848" s="7" t="s">
        <v>944</v>
      </c>
      <c r="E848" s="7"/>
      <c r="F848" s="8"/>
      <c r="G848" s="7" t="s">
        <v>944</v>
      </c>
      <c r="H848" s="9">
        <v>36.952494000000002</v>
      </c>
      <c r="I848" s="9">
        <v>8.7655419999999999</v>
      </c>
      <c r="J848" s="7" t="s">
        <v>65</v>
      </c>
      <c r="K848" s="7" t="s">
        <v>37</v>
      </c>
      <c r="L848" s="7"/>
      <c r="M848" s="10">
        <v>9</v>
      </c>
      <c r="N848" s="7" t="s">
        <v>66</v>
      </c>
      <c r="O848" s="7"/>
      <c r="P848" s="8" t="s">
        <v>39</v>
      </c>
      <c r="Q848">
        <v>5.62</v>
      </c>
      <c r="R848">
        <v>17.399999999999999</v>
      </c>
      <c r="S848" t="s">
        <v>53</v>
      </c>
      <c r="T848">
        <v>10</v>
      </c>
      <c r="U848">
        <f t="shared" si="65"/>
        <v>56.2</v>
      </c>
      <c r="V848">
        <v>0.92</v>
      </c>
      <c r="W848">
        <v>160</v>
      </c>
      <c r="X848">
        <v>0.35</v>
      </c>
      <c r="Y848">
        <f t="shared" si="66"/>
        <v>56</v>
      </c>
      <c r="Z848">
        <f t="shared" si="67"/>
        <v>51.704000000000008</v>
      </c>
      <c r="AA848">
        <f t="shared" si="68"/>
        <v>0</v>
      </c>
      <c r="AB848">
        <f t="shared" si="69"/>
        <v>0</v>
      </c>
    </row>
    <row r="849" spans="1:28" ht="25.5" x14ac:dyDescent="0.25">
      <c r="A849" s="7">
        <v>848</v>
      </c>
      <c r="B849" s="7" t="s">
        <v>15</v>
      </c>
      <c r="C849" s="7" t="s">
        <v>67</v>
      </c>
      <c r="D849" s="7" t="s">
        <v>945</v>
      </c>
      <c r="E849" s="7"/>
      <c r="F849" s="8"/>
      <c r="G849" s="7" t="s">
        <v>945</v>
      </c>
      <c r="H849" s="9">
        <v>35.619840000000003</v>
      </c>
      <c r="I849" s="9">
        <v>9.9232499999999995</v>
      </c>
      <c r="J849" s="7" t="s">
        <v>69</v>
      </c>
      <c r="K849" s="7" t="s">
        <v>37</v>
      </c>
      <c r="L849" s="7"/>
      <c r="M849" s="10">
        <v>14.89</v>
      </c>
      <c r="N849" s="7" t="s">
        <v>70</v>
      </c>
      <c r="O849" s="7"/>
      <c r="P849" s="8" t="s">
        <v>39</v>
      </c>
      <c r="Q849">
        <v>6.75</v>
      </c>
      <c r="R849">
        <v>28.1</v>
      </c>
      <c r="S849" t="s">
        <v>58</v>
      </c>
      <c r="T849">
        <v>9</v>
      </c>
      <c r="U849">
        <f t="shared" si="65"/>
        <v>60.75</v>
      </c>
      <c r="V849">
        <v>0.81</v>
      </c>
      <c r="W849">
        <v>120</v>
      </c>
      <c r="X849">
        <v>0.35</v>
      </c>
      <c r="Y849">
        <f t="shared" si="66"/>
        <v>42</v>
      </c>
      <c r="Z849">
        <f t="shared" si="67"/>
        <v>49.207500000000003</v>
      </c>
      <c r="AA849">
        <f t="shared" si="68"/>
        <v>7.2075000000000031</v>
      </c>
      <c r="AB849">
        <f t="shared" si="69"/>
        <v>107.31967500000005</v>
      </c>
    </row>
    <row r="850" spans="1:28" ht="25.5" x14ac:dyDescent="0.25">
      <c r="A850" s="7">
        <v>849</v>
      </c>
      <c r="B850" s="7" t="s">
        <v>15</v>
      </c>
      <c r="C850" s="7" t="s">
        <v>71</v>
      </c>
      <c r="D850" s="7" t="s">
        <v>946</v>
      </c>
      <c r="E850" s="7"/>
      <c r="F850" s="8"/>
      <c r="G850" s="7" t="s">
        <v>946</v>
      </c>
      <c r="H850" s="9">
        <v>35.243133</v>
      </c>
      <c r="I850" s="9">
        <v>9.1166140000000002</v>
      </c>
      <c r="J850" s="7" t="s">
        <v>73</v>
      </c>
      <c r="K850" s="7" t="s">
        <v>37</v>
      </c>
      <c r="L850" s="7"/>
      <c r="M850" s="10">
        <v>12.18</v>
      </c>
      <c r="N850" s="7" t="s">
        <v>74</v>
      </c>
      <c r="O850" s="7"/>
      <c r="P850" s="8" t="s">
        <v>39</v>
      </c>
      <c r="Q850">
        <v>6.79</v>
      </c>
      <c r="R850">
        <v>26.6</v>
      </c>
      <c r="S850" t="s">
        <v>58</v>
      </c>
      <c r="T850">
        <v>10</v>
      </c>
      <c r="U850">
        <f t="shared" si="65"/>
        <v>67.900000000000006</v>
      </c>
      <c r="V850">
        <v>0.81</v>
      </c>
      <c r="W850">
        <v>160</v>
      </c>
      <c r="X850">
        <v>0.35</v>
      </c>
      <c r="Y850">
        <f t="shared" si="66"/>
        <v>56</v>
      </c>
      <c r="Z850">
        <f t="shared" si="67"/>
        <v>54.999000000000009</v>
      </c>
      <c r="AA850">
        <f t="shared" si="68"/>
        <v>0</v>
      </c>
      <c r="AB850">
        <f t="shared" si="69"/>
        <v>0</v>
      </c>
    </row>
    <row r="851" spans="1:28" ht="25.5" x14ac:dyDescent="0.25">
      <c r="A851" s="7">
        <v>850</v>
      </c>
      <c r="B851" s="7" t="s">
        <v>15</v>
      </c>
      <c r="C851" s="7" t="s">
        <v>75</v>
      </c>
      <c r="D851" s="7" t="s">
        <v>947</v>
      </c>
      <c r="E851" s="7"/>
      <c r="F851" s="8"/>
      <c r="G851" s="7" t="s">
        <v>947</v>
      </c>
      <c r="H851" s="9">
        <v>33.451565000000002</v>
      </c>
      <c r="I851" s="9">
        <v>9.0316550000000007</v>
      </c>
      <c r="J851" s="7" t="s">
        <v>77</v>
      </c>
      <c r="K851" s="7" t="s">
        <v>37</v>
      </c>
      <c r="L851" s="7"/>
      <c r="M851" s="10">
        <v>11.15</v>
      </c>
      <c r="N851" s="7" t="s">
        <v>78</v>
      </c>
      <c r="O851" s="7"/>
      <c r="P851" s="8" t="s">
        <v>39</v>
      </c>
      <c r="Q851">
        <v>4.75</v>
      </c>
      <c r="R851">
        <v>19.8</v>
      </c>
      <c r="S851" t="s">
        <v>53</v>
      </c>
      <c r="T851">
        <v>14</v>
      </c>
      <c r="U851">
        <f t="shared" si="65"/>
        <v>66.5</v>
      </c>
      <c r="V851">
        <v>1.1499999999999999</v>
      </c>
      <c r="W851">
        <v>0</v>
      </c>
      <c r="X851">
        <v>0</v>
      </c>
      <c r="Y851">
        <f t="shared" si="66"/>
        <v>0</v>
      </c>
      <c r="Z851">
        <f t="shared" si="67"/>
        <v>76.474999999999994</v>
      </c>
      <c r="AA851">
        <f t="shared" si="68"/>
        <v>76.474999999999994</v>
      </c>
      <c r="AB851">
        <f t="shared" si="69"/>
        <v>852.69624999999996</v>
      </c>
    </row>
    <row r="852" spans="1:28" ht="25.5" x14ac:dyDescent="0.25">
      <c r="A852" s="7">
        <v>851</v>
      </c>
      <c r="B852" s="7" t="s">
        <v>15</v>
      </c>
      <c r="C852" s="7" t="s">
        <v>79</v>
      </c>
      <c r="D852" s="7" t="s">
        <v>948</v>
      </c>
      <c r="E852" s="7"/>
      <c r="F852" s="8"/>
      <c r="G852" s="7" t="s">
        <v>948</v>
      </c>
      <c r="H852" s="9">
        <v>35.94455</v>
      </c>
      <c r="I852" s="9">
        <v>8.8545750000000005</v>
      </c>
      <c r="J852" s="7" t="s">
        <v>81</v>
      </c>
      <c r="K852" s="7" t="s">
        <v>37</v>
      </c>
      <c r="L852" s="7"/>
      <c r="M852" s="10">
        <v>7.08</v>
      </c>
      <c r="N852" s="7" t="s">
        <v>38</v>
      </c>
      <c r="O852" s="7"/>
      <c r="P852" s="8" t="s">
        <v>39</v>
      </c>
      <c r="Q852">
        <v>3.83</v>
      </c>
      <c r="R852">
        <v>41.1</v>
      </c>
      <c r="S852" t="s">
        <v>40</v>
      </c>
      <c r="T852">
        <v>18</v>
      </c>
      <c r="U852">
        <f t="shared" si="65"/>
        <v>68.94</v>
      </c>
      <c r="V852">
        <v>0.6</v>
      </c>
      <c r="W852">
        <v>0</v>
      </c>
      <c r="X852">
        <v>0</v>
      </c>
      <c r="Y852">
        <f t="shared" si="66"/>
        <v>0</v>
      </c>
      <c r="Z852">
        <f t="shared" si="67"/>
        <v>41.363999999999997</v>
      </c>
      <c r="AA852">
        <f t="shared" si="68"/>
        <v>41.363999999999997</v>
      </c>
      <c r="AB852">
        <f t="shared" si="69"/>
        <v>292.85712000000001</v>
      </c>
    </row>
    <row r="853" spans="1:28" ht="25.5" x14ac:dyDescent="0.25">
      <c r="A853" s="7">
        <v>852</v>
      </c>
      <c r="B853" s="7" t="s">
        <v>15</v>
      </c>
      <c r="C853" s="7" t="s">
        <v>82</v>
      </c>
      <c r="D853" s="7" t="s">
        <v>949</v>
      </c>
      <c r="E853" s="7"/>
      <c r="F853" s="8"/>
      <c r="G853" s="7" t="s">
        <v>949</v>
      </c>
      <c r="H853" s="9">
        <v>35.241208</v>
      </c>
      <c r="I853" s="9">
        <v>11.110908999999999</v>
      </c>
      <c r="J853" s="7" t="s">
        <v>84</v>
      </c>
      <c r="K853" s="7" t="s">
        <v>37</v>
      </c>
      <c r="L853" s="7"/>
      <c r="M853" s="10">
        <v>8.15</v>
      </c>
      <c r="N853" s="7" t="s">
        <v>44</v>
      </c>
      <c r="O853" s="7"/>
      <c r="P853" s="8" t="s">
        <v>39</v>
      </c>
      <c r="Q853">
        <v>2.41</v>
      </c>
      <c r="R853">
        <v>28.1</v>
      </c>
      <c r="S853" t="s">
        <v>58</v>
      </c>
      <c r="T853">
        <v>18</v>
      </c>
      <c r="U853">
        <f t="shared" si="65"/>
        <v>43.38</v>
      </c>
      <c r="V853">
        <v>0.9</v>
      </c>
      <c r="W853">
        <v>160</v>
      </c>
      <c r="X853">
        <v>0.35</v>
      </c>
      <c r="Y853">
        <f t="shared" si="66"/>
        <v>56</v>
      </c>
      <c r="Z853">
        <f t="shared" si="67"/>
        <v>39.042000000000002</v>
      </c>
      <c r="AA853">
        <f t="shared" si="68"/>
        <v>0</v>
      </c>
      <c r="AB853">
        <f t="shared" si="69"/>
        <v>0</v>
      </c>
    </row>
    <row r="854" spans="1:28" ht="25.5" x14ac:dyDescent="0.25">
      <c r="A854" s="7">
        <v>853</v>
      </c>
      <c r="B854" s="7" t="s">
        <v>15</v>
      </c>
      <c r="C854" s="7" t="s">
        <v>85</v>
      </c>
      <c r="D854" s="7" t="s">
        <v>950</v>
      </c>
      <c r="E854" s="7"/>
      <c r="F854" s="8"/>
      <c r="G854" s="7" t="s">
        <v>950</v>
      </c>
      <c r="H854" s="9">
        <v>36.825142</v>
      </c>
      <c r="I854" s="9">
        <v>9.8280989999999999</v>
      </c>
      <c r="J854" s="7" t="s">
        <v>87</v>
      </c>
      <c r="K854" s="7" t="s">
        <v>37</v>
      </c>
      <c r="L854" s="7"/>
      <c r="M854" s="10">
        <v>4.87</v>
      </c>
      <c r="N854" s="7" t="s">
        <v>48</v>
      </c>
      <c r="O854" s="7"/>
      <c r="P854" s="8" t="s">
        <v>39</v>
      </c>
      <c r="Q854">
        <v>2.68</v>
      </c>
      <c r="R854">
        <v>38.1</v>
      </c>
      <c r="S854" t="s">
        <v>40</v>
      </c>
      <c r="T854">
        <v>16</v>
      </c>
      <c r="U854">
        <f t="shared" si="65"/>
        <v>42.88</v>
      </c>
      <c r="V854">
        <v>0.54</v>
      </c>
      <c r="W854">
        <v>80</v>
      </c>
      <c r="X854">
        <v>0.35</v>
      </c>
      <c r="Y854">
        <f t="shared" si="66"/>
        <v>28</v>
      </c>
      <c r="Z854">
        <f t="shared" si="67"/>
        <v>23.155200000000004</v>
      </c>
      <c r="AA854">
        <f t="shared" si="68"/>
        <v>0</v>
      </c>
      <c r="AB854">
        <f t="shared" si="69"/>
        <v>0</v>
      </c>
    </row>
    <row r="855" spans="1:28" ht="25.5" x14ac:dyDescent="0.25">
      <c r="A855" s="7">
        <v>854</v>
      </c>
      <c r="B855" s="7" t="s">
        <v>15</v>
      </c>
      <c r="C855" s="7" t="s">
        <v>88</v>
      </c>
      <c r="D855" s="7" t="s">
        <v>951</v>
      </c>
      <c r="E855" s="7"/>
      <c r="F855" s="8"/>
      <c r="G855" s="7" t="s">
        <v>951</v>
      </c>
      <c r="H855" s="9">
        <v>33.778958000000003</v>
      </c>
      <c r="I855" s="9">
        <v>10.985621</v>
      </c>
      <c r="J855" s="7" t="s">
        <v>90</v>
      </c>
      <c r="K855" s="7" t="s">
        <v>37</v>
      </c>
      <c r="L855" s="7"/>
      <c r="M855" s="10">
        <v>23.88</v>
      </c>
      <c r="N855" s="7" t="s">
        <v>52</v>
      </c>
      <c r="O855" s="7"/>
      <c r="P855" s="8" t="s">
        <v>39</v>
      </c>
      <c r="Q855">
        <v>4.58</v>
      </c>
      <c r="R855">
        <v>43.5</v>
      </c>
      <c r="S855" t="s">
        <v>40</v>
      </c>
      <c r="T855">
        <v>12</v>
      </c>
      <c r="U855">
        <f t="shared" si="65"/>
        <v>54.96</v>
      </c>
      <c r="V855">
        <v>0.66</v>
      </c>
      <c r="W855">
        <v>120</v>
      </c>
      <c r="X855">
        <v>0.35</v>
      </c>
      <c r="Y855">
        <f t="shared" si="66"/>
        <v>42</v>
      </c>
      <c r="Z855">
        <f t="shared" si="67"/>
        <v>36.273600000000002</v>
      </c>
      <c r="AA855">
        <f t="shared" si="68"/>
        <v>0</v>
      </c>
      <c r="AB855">
        <f t="shared" si="69"/>
        <v>0</v>
      </c>
    </row>
    <row r="856" spans="1:28" ht="25.5" x14ac:dyDescent="0.25">
      <c r="A856" s="7">
        <v>855</v>
      </c>
      <c r="B856" s="7" t="s">
        <v>15</v>
      </c>
      <c r="C856" s="7" t="s">
        <v>92</v>
      </c>
      <c r="D856" s="7" t="s">
        <v>952</v>
      </c>
      <c r="E856" s="7"/>
      <c r="F856" s="8"/>
      <c r="G856" s="7" t="s">
        <v>952</v>
      </c>
      <c r="H856" s="9">
        <v>35.620728</v>
      </c>
      <c r="I856" s="9">
        <v>10.746266</v>
      </c>
      <c r="J856" s="7" t="s">
        <v>94</v>
      </c>
      <c r="K856" s="7" t="s">
        <v>37</v>
      </c>
      <c r="L856" s="7"/>
      <c r="M856" s="10">
        <v>16.48</v>
      </c>
      <c r="N856" s="7" t="s">
        <v>57</v>
      </c>
      <c r="O856" s="7"/>
      <c r="P856" s="8" t="s">
        <v>39</v>
      </c>
      <c r="Q856">
        <v>2.2200000000000002</v>
      </c>
      <c r="R856">
        <v>14.7</v>
      </c>
      <c r="S856" t="s">
        <v>91</v>
      </c>
      <c r="T856">
        <v>8</v>
      </c>
      <c r="U856">
        <f t="shared" si="65"/>
        <v>17.760000000000002</v>
      </c>
      <c r="V856">
        <v>1.6</v>
      </c>
      <c r="W856">
        <v>0</v>
      </c>
      <c r="X856">
        <v>0</v>
      </c>
      <c r="Y856">
        <f t="shared" si="66"/>
        <v>0</v>
      </c>
      <c r="Z856">
        <f t="shared" si="67"/>
        <v>28.416000000000004</v>
      </c>
      <c r="AA856">
        <f t="shared" si="68"/>
        <v>28.416000000000004</v>
      </c>
      <c r="AB856">
        <f t="shared" si="69"/>
        <v>468.29568000000006</v>
      </c>
    </row>
    <row r="857" spans="1:28" ht="25.5" x14ac:dyDescent="0.25">
      <c r="A857" s="7">
        <v>856</v>
      </c>
      <c r="B857" s="7" t="s">
        <v>15</v>
      </c>
      <c r="C857" s="7" t="s">
        <v>95</v>
      </c>
      <c r="D857" s="7" t="s">
        <v>953</v>
      </c>
      <c r="E857" s="7"/>
      <c r="F857" s="8"/>
      <c r="G857" s="7" t="s">
        <v>953</v>
      </c>
      <c r="H857" s="9">
        <v>36.543408999999997</v>
      </c>
      <c r="I857" s="9">
        <v>10.872268</v>
      </c>
      <c r="J857" s="7" t="s">
        <v>97</v>
      </c>
      <c r="K857" s="7" t="s">
        <v>37</v>
      </c>
      <c r="L857" s="7"/>
      <c r="M857" s="10">
        <v>5.03</v>
      </c>
      <c r="N857" s="7" t="s">
        <v>62</v>
      </c>
      <c r="O857" s="7"/>
      <c r="P857" s="8" t="s">
        <v>39</v>
      </c>
      <c r="Q857">
        <v>5.17</v>
      </c>
      <c r="R857">
        <v>39.200000000000003</v>
      </c>
      <c r="S857" t="s">
        <v>40</v>
      </c>
      <c r="T857">
        <v>7</v>
      </c>
      <c r="U857">
        <f t="shared" si="65"/>
        <v>36.19</v>
      </c>
      <c r="V857">
        <v>0.66</v>
      </c>
      <c r="W857">
        <v>0</v>
      </c>
      <c r="X857">
        <v>0</v>
      </c>
      <c r="Y857">
        <f t="shared" si="66"/>
        <v>0</v>
      </c>
      <c r="Z857">
        <f t="shared" si="67"/>
        <v>23.885400000000001</v>
      </c>
      <c r="AA857">
        <f t="shared" si="68"/>
        <v>23.885400000000001</v>
      </c>
      <c r="AB857">
        <f t="shared" si="69"/>
        <v>120.143562</v>
      </c>
    </row>
    <row r="858" spans="1:28" ht="25.5" x14ac:dyDescent="0.25">
      <c r="A858" s="7">
        <v>857</v>
      </c>
      <c r="B858" s="7" t="s">
        <v>15</v>
      </c>
      <c r="C858" s="7" t="s">
        <v>98</v>
      </c>
      <c r="D858" s="7" t="s">
        <v>954</v>
      </c>
      <c r="E858" s="7"/>
      <c r="F858" s="8"/>
      <c r="G858" s="7" t="s">
        <v>954</v>
      </c>
      <c r="H858" s="9">
        <v>34.736255999999997</v>
      </c>
      <c r="I858" s="9">
        <v>10.511246999999999</v>
      </c>
      <c r="J858" s="7" t="s">
        <v>100</v>
      </c>
      <c r="K858" s="7" t="s">
        <v>37</v>
      </c>
      <c r="L858" s="7"/>
      <c r="M858" s="10">
        <v>9.2200000000000006</v>
      </c>
      <c r="N858" s="7" t="s">
        <v>66</v>
      </c>
      <c r="O858" s="7"/>
      <c r="P858" s="8" t="s">
        <v>39</v>
      </c>
      <c r="Q858">
        <v>5.75</v>
      </c>
      <c r="R858">
        <v>41.8</v>
      </c>
      <c r="S858" t="s">
        <v>40</v>
      </c>
      <c r="T858">
        <v>10</v>
      </c>
      <c r="U858">
        <f t="shared" si="65"/>
        <v>57.5</v>
      </c>
      <c r="V858">
        <v>0.48</v>
      </c>
      <c r="W858">
        <v>160</v>
      </c>
      <c r="X858">
        <v>0.35</v>
      </c>
      <c r="Y858">
        <f t="shared" si="66"/>
        <v>56</v>
      </c>
      <c r="Z858">
        <f t="shared" si="67"/>
        <v>27.599999999999998</v>
      </c>
      <c r="AA858">
        <f t="shared" si="68"/>
        <v>0</v>
      </c>
      <c r="AB858">
        <f t="shared" si="69"/>
        <v>0</v>
      </c>
    </row>
    <row r="859" spans="1:28" ht="25.5" x14ac:dyDescent="0.25">
      <c r="A859" s="7">
        <v>858</v>
      </c>
      <c r="B859" s="7" t="s">
        <v>15</v>
      </c>
      <c r="C859" s="7" t="s">
        <v>101</v>
      </c>
      <c r="D859" s="7" t="s">
        <v>955</v>
      </c>
      <c r="E859" s="7"/>
      <c r="F859" s="8"/>
      <c r="G859" s="7" t="s">
        <v>955</v>
      </c>
      <c r="H859" s="9">
        <v>34.921168000000002</v>
      </c>
      <c r="I859" s="9">
        <v>9.7675750000000008</v>
      </c>
      <c r="J859" s="7" t="s">
        <v>103</v>
      </c>
      <c r="K859" s="7" t="s">
        <v>37</v>
      </c>
      <c r="L859" s="7"/>
      <c r="M859" s="10">
        <v>4.57</v>
      </c>
      <c r="N859" s="7" t="s">
        <v>70</v>
      </c>
      <c r="O859" s="7"/>
      <c r="P859" s="8" t="s">
        <v>39</v>
      </c>
      <c r="Q859">
        <v>7.31</v>
      </c>
      <c r="R859">
        <v>21.4</v>
      </c>
      <c r="S859" t="s">
        <v>53</v>
      </c>
      <c r="T859">
        <v>9</v>
      </c>
      <c r="U859">
        <f t="shared" si="65"/>
        <v>65.789999999999992</v>
      </c>
      <c r="V859">
        <v>1.03</v>
      </c>
      <c r="W859">
        <v>0</v>
      </c>
      <c r="X859">
        <v>0</v>
      </c>
      <c r="Y859">
        <f t="shared" si="66"/>
        <v>0</v>
      </c>
      <c r="Z859">
        <f t="shared" si="67"/>
        <v>67.7637</v>
      </c>
      <c r="AA859">
        <f t="shared" si="68"/>
        <v>67.7637</v>
      </c>
      <c r="AB859">
        <f t="shared" si="69"/>
        <v>309.68010900000002</v>
      </c>
    </row>
    <row r="860" spans="1:28" ht="25.5" x14ac:dyDescent="0.25">
      <c r="A860" s="7">
        <v>859</v>
      </c>
      <c r="B860" s="7" t="s">
        <v>15</v>
      </c>
      <c r="C860" s="7" t="s">
        <v>104</v>
      </c>
      <c r="D860" s="7" t="s">
        <v>956</v>
      </c>
      <c r="E860" s="7"/>
      <c r="F860" s="8"/>
      <c r="G860" s="7" t="s">
        <v>956</v>
      </c>
      <c r="H860" s="9">
        <v>35.865707999999998</v>
      </c>
      <c r="I860" s="9">
        <v>9.2007490000000001</v>
      </c>
      <c r="J860" s="7" t="s">
        <v>106</v>
      </c>
      <c r="K860" s="7" t="s">
        <v>37</v>
      </c>
      <c r="L860" s="7"/>
      <c r="M860" s="10">
        <v>9.11</v>
      </c>
      <c r="N860" s="7" t="s">
        <v>74</v>
      </c>
      <c r="O860" s="7"/>
      <c r="P860" s="8" t="s">
        <v>39</v>
      </c>
      <c r="Q860">
        <v>5.44</v>
      </c>
      <c r="R860">
        <v>37.700000000000003</v>
      </c>
      <c r="S860" t="s">
        <v>40</v>
      </c>
      <c r="T860">
        <v>10</v>
      </c>
      <c r="U860">
        <f t="shared" si="65"/>
        <v>54.400000000000006</v>
      </c>
      <c r="V860">
        <v>0.54</v>
      </c>
      <c r="W860">
        <v>0</v>
      </c>
      <c r="X860">
        <v>0</v>
      </c>
      <c r="Y860">
        <f t="shared" si="66"/>
        <v>0</v>
      </c>
      <c r="Z860">
        <f t="shared" si="67"/>
        <v>29.376000000000005</v>
      </c>
      <c r="AA860">
        <f t="shared" si="68"/>
        <v>29.376000000000005</v>
      </c>
      <c r="AB860">
        <f t="shared" si="69"/>
        <v>267.61536000000001</v>
      </c>
    </row>
    <row r="861" spans="1:28" ht="25.5" x14ac:dyDescent="0.25">
      <c r="A861" s="7">
        <v>860</v>
      </c>
      <c r="B861" s="7" t="s">
        <v>15</v>
      </c>
      <c r="C861" s="7" t="s">
        <v>107</v>
      </c>
      <c r="D861" s="7" t="s">
        <v>957</v>
      </c>
      <c r="E861" s="7"/>
      <c r="F861" s="8"/>
      <c r="G861" s="7" t="s">
        <v>957</v>
      </c>
      <c r="H861" s="9">
        <v>36.152994999999997</v>
      </c>
      <c r="I861" s="9">
        <v>10.366065000000001</v>
      </c>
      <c r="J861" s="7" t="s">
        <v>109</v>
      </c>
      <c r="K861" s="7" t="s">
        <v>37</v>
      </c>
      <c r="L861" s="7"/>
      <c r="M861" s="10">
        <v>22.57</v>
      </c>
      <c r="N861" s="7" t="s">
        <v>78</v>
      </c>
      <c r="O861" s="7"/>
      <c r="P861" s="8" t="s">
        <v>39</v>
      </c>
      <c r="Q861">
        <v>2.79</v>
      </c>
      <c r="R861">
        <v>32.9</v>
      </c>
      <c r="S861" t="s">
        <v>58</v>
      </c>
      <c r="T861">
        <v>14</v>
      </c>
      <c r="U861">
        <f t="shared" si="65"/>
        <v>39.06</v>
      </c>
      <c r="V861">
        <v>0.9</v>
      </c>
      <c r="W861">
        <v>0</v>
      </c>
      <c r="X861">
        <v>0</v>
      </c>
      <c r="Y861">
        <f t="shared" si="66"/>
        <v>0</v>
      </c>
      <c r="Z861">
        <f t="shared" si="67"/>
        <v>35.154000000000003</v>
      </c>
      <c r="AA861">
        <f t="shared" si="68"/>
        <v>35.154000000000003</v>
      </c>
      <c r="AB861">
        <f t="shared" si="69"/>
        <v>793.42578000000003</v>
      </c>
    </row>
    <row r="862" spans="1:28" ht="25.5" x14ac:dyDescent="0.25">
      <c r="A862" s="7">
        <v>861</v>
      </c>
      <c r="B862" s="7" t="s">
        <v>15</v>
      </c>
      <c r="C862" s="7" t="s">
        <v>110</v>
      </c>
      <c r="D862" s="7" t="s">
        <v>958</v>
      </c>
      <c r="E862" s="7"/>
      <c r="F862" s="8"/>
      <c r="G862" s="7" t="s">
        <v>958</v>
      </c>
      <c r="H862" s="9">
        <v>33.15775</v>
      </c>
      <c r="I862" s="9">
        <v>10.214668</v>
      </c>
      <c r="J862" s="7" t="s">
        <v>112</v>
      </c>
      <c r="K862" s="7" t="s">
        <v>37</v>
      </c>
      <c r="L862" s="7"/>
      <c r="M862" s="10">
        <v>8.43</v>
      </c>
      <c r="N862" s="7" t="s">
        <v>38</v>
      </c>
      <c r="O862" s="7"/>
      <c r="P862" s="8" t="s">
        <v>39</v>
      </c>
      <c r="Q862">
        <v>1.83</v>
      </c>
      <c r="R862">
        <v>34.4</v>
      </c>
      <c r="S862" t="s">
        <v>58</v>
      </c>
      <c r="T862">
        <v>18</v>
      </c>
      <c r="U862">
        <f t="shared" si="65"/>
        <v>32.94</v>
      </c>
      <c r="V862">
        <v>0.9</v>
      </c>
      <c r="W862">
        <v>0</v>
      </c>
      <c r="X862">
        <v>0</v>
      </c>
      <c r="Y862">
        <f t="shared" si="66"/>
        <v>0</v>
      </c>
      <c r="Z862">
        <f t="shared" si="67"/>
        <v>29.645999999999997</v>
      </c>
      <c r="AA862">
        <f t="shared" si="68"/>
        <v>29.645999999999997</v>
      </c>
      <c r="AB862">
        <f t="shared" si="69"/>
        <v>249.91577999999996</v>
      </c>
    </row>
    <row r="863" spans="1:28" ht="25.5" x14ac:dyDescent="0.25">
      <c r="A863" s="7">
        <v>862</v>
      </c>
      <c r="B863" s="7" t="s">
        <v>15</v>
      </c>
      <c r="C863" s="7" t="s">
        <v>113</v>
      </c>
      <c r="D863" s="7" t="s">
        <v>959</v>
      </c>
      <c r="E863" s="7"/>
      <c r="F863" s="8"/>
      <c r="G863" s="7" t="s">
        <v>959</v>
      </c>
      <c r="H863" s="9">
        <v>33.866562000000002</v>
      </c>
      <c r="I863" s="9">
        <v>7.8772440000000001</v>
      </c>
      <c r="J863" s="7" t="s">
        <v>115</v>
      </c>
      <c r="K863" s="7" t="s">
        <v>37</v>
      </c>
      <c r="L863" s="7"/>
      <c r="M863" s="10">
        <v>16.5</v>
      </c>
      <c r="N863" s="7" t="s">
        <v>44</v>
      </c>
      <c r="O863" s="7"/>
      <c r="P863" s="8" t="s">
        <v>39</v>
      </c>
      <c r="Q863">
        <v>1.9</v>
      </c>
      <c r="R863">
        <v>29.7</v>
      </c>
      <c r="S863" t="s">
        <v>58</v>
      </c>
      <c r="T863">
        <v>18</v>
      </c>
      <c r="U863">
        <f t="shared" si="65"/>
        <v>34.199999999999996</v>
      </c>
      <c r="V863">
        <v>0.9</v>
      </c>
      <c r="W863">
        <v>120</v>
      </c>
      <c r="X863">
        <v>0.35</v>
      </c>
      <c r="Y863">
        <f t="shared" si="66"/>
        <v>42</v>
      </c>
      <c r="Z863">
        <f t="shared" si="67"/>
        <v>30.779999999999998</v>
      </c>
      <c r="AA863">
        <f t="shared" si="68"/>
        <v>0</v>
      </c>
      <c r="AB863">
        <f t="shared" si="69"/>
        <v>0</v>
      </c>
    </row>
    <row r="864" spans="1:28" ht="25.5" x14ac:dyDescent="0.25">
      <c r="A864" s="7">
        <v>863</v>
      </c>
      <c r="B864" s="7" t="s">
        <v>15</v>
      </c>
      <c r="C864" s="7" t="s">
        <v>116</v>
      </c>
      <c r="D864" s="7" t="s">
        <v>960</v>
      </c>
      <c r="E864" s="7"/>
      <c r="F864" s="8"/>
      <c r="G864" s="7" t="s">
        <v>960</v>
      </c>
      <c r="H864" s="9">
        <v>36.875681999999998</v>
      </c>
      <c r="I864" s="9">
        <v>10.338815</v>
      </c>
      <c r="J864" s="7" t="s">
        <v>118</v>
      </c>
      <c r="K864" s="7" t="s">
        <v>37</v>
      </c>
      <c r="L864" s="7"/>
      <c r="M864" s="10">
        <v>23.17</v>
      </c>
      <c r="N864" s="7" t="s">
        <v>48</v>
      </c>
      <c r="O864" s="7"/>
      <c r="P864" s="8" t="s">
        <v>39</v>
      </c>
      <c r="Q864">
        <v>6.01</v>
      </c>
      <c r="R864">
        <v>40.1</v>
      </c>
      <c r="S864" t="s">
        <v>40</v>
      </c>
      <c r="T864">
        <v>16</v>
      </c>
      <c r="U864">
        <f t="shared" si="65"/>
        <v>96.16</v>
      </c>
      <c r="V864">
        <v>0.54</v>
      </c>
      <c r="W864">
        <v>120</v>
      </c>
      <c r="X864">
        <v>0.35</v>
      </c>
      <c r="Y864">
        <f t="shared" si="66"/>
        <v>42</v>
      </c>
      <c r="Z864">
        <f t="shared" si="67"/>
        <v>51.926400000000001</v>
      </c>
      <c r="AA864">
        <f t="shared" si="68"/>
        <v>9.926400000000001</v>
      </c>
      <c r="AB864">
        <f t="shared" si="69"/>
        <v>229.99468800000005</v>
      </c>
    </row>
    <row r="865" spans="1:28" ht="25.5" x14ac:dyDescent="0.25">
      <c r="A865" s="7">
        <v>864</v>
      </c>
      <c r="B865" s="7" t="s">
        <v>15</v>
      </c>
      <c r="C865" s="7" t="s">
        <v>119</v>
      </c>
      <c r="D865" s="7" t="s">
        <v>961</v>
      </c>
      <c r="E865" s="7"/>
      <c r="F865" s="8"/>
      <c r="G865" s="7" t="s">
        <v>961</v>
      </c>
      <c r="H865" s="9">
        <v>36.396245999999998</v>
      </c>
      <c r="I865" s="9">
        <v>9.6227520000000002</v>
      </c>
      <c r="J865" s="7" t="s">
        <v>121</v>
      </c>
      <c r="K865" s="7" t="s">
        <v>37</v>
      </c>
      <c r="L865" s="7"/>
      <c r="M865" s="10">
        <v>22</v>
      </c>
      <c r="N865" s="7" t="s">
        <v>52</v>
      </c>
      <c r="O865" s="7"/>
      <c r="P865" s="8" t="s">
        <v>39</v>
      </c>
      <c r="Q865">
        <v>2.69</v>
      </c>
      <c r="R865">
        <v>27.6</v>
      </c>
      <c r="S865" t="s">
        <v>58</v>
      </c>
      <c r="T865">
        <v>12</v>
      </c>
      <c r="U865">
        <f t="shared" si="65"/>
        <v>32.28</v>
      </c>
      <c r="V865">
        <v>0.99</v>
      </c>
      <c r="W865">
        <v>120</v>
      </c>
      <c r="X865">
        <v>0.35</v>
      </c>
      <c r="Y865">
        <f t="shared" si="66"/>
        <v>42</v>
      </c>
      <c r="Z865">
        <f t="shared" si="67"/>
        <v>31.9572</v>
      </c>
      <c r="AA865">
        <f t="shared" si="68"/>
        <v>0</v>
      </c>
      <c r="AB865">
        <f t="shared" si="69"/>
        <v>0</v>
      </c>
    </row>
    <row r="866" spans="1:28" ht="25.5" x14ac:dyDescent="0.25">
      <c r="A866" s="7">
        <v>865</v>
      </c>
      <c r="B866" s="7" t="s">
        <v>15</v>
      </c>
      <c r="C866" s="7" t="s">
        <v>34</v>
      </c>
      <c r="D866" s="7" t="s">
        <v>962</v>
      </c>
      <c r="E866" s="7"/>
      <c r="F866" s="8"/>
      <c r="G866" s="7" t="s">
        <v>962</v>
      </c>
      <c r="H866" s="9">
        <v>36.901992</v>
      </c>
      <c r="I866" s="9">
        <v>10.230347999999999</v>
      </c>
      <c r="J866" s="7" t="s">
        <v>36</v>
      </c>
      <c r="K866" s="7" t="s">
        <v>37</v>
      </c>
      <c r="L866" s="7"/>
      <c r="M866" s="10">
        <v>6.71</v>
      </c>
      <c r="N866" s="7" t="s">
        <v>57</v>
      </c>
      <c r="O866" s="7"/>
      <c r="P866" s="8" t="s">
        <v>39</v>
      </c>
      <c r="Q866">
        <v>7.03</v>
      </c>
      <c r="R866">
        <v>14.8</v>
      </c>
      <c r="S866" t="s">
        <v>91</v>
      </c>
      <c r="T866">
        <v>8</v>
      </c>
      <c r="U866">
        <f t="shared" si="65"/>
        <v>56.24</v>
      </c>
      <c r="V866">
        <v>1.6</v>
      </c>
      <c r="W866">
        <v>120</v>
      </c>
      <c r="X866">
        <v>0.35</v>
      </c>
      <c r="Y866">
        <f t="shared" si="66"/>
        <v>42</v>
      </c>
      <c r="Z866">
        <f t="shared" si="67"/>
        <v>89.984000000000009</v>
      </c>
      <c r="AA866">
        <f t="shared" si="68"/>
        <v>47.984000000000009</v>
      </c>
      <c r="AB866">
        <f t="shared" si="69"/>
        <v>321.97264000000007</v>
      </c>
    </row>
    <row r="867" spans="1:28" ht="25.5" x14ac:dyDescent="0.25">
      <c r="A867" s="7">
        <v>866</v>
      </c>
      <c r="B867" s="7" t="s">
        <v>15</v>
      </c>
      <c r="C867" s="7" t="s">
        <v>41</v>
      </c>
      <c r="D867" s="7" t="s">
        <v>963</v>
      </c>
      <c r="E867" s="7"/>
      <c r="F867" s="8"/>
      <c r="G867" s="7" t="s">
        <v>963</v>
      </c>
      <c r="H867" s="9">
        <v>36.632883</v>
      </c>
      <c r="I867" s="9">
        <v>9.6294830000000005</v>
      </c>
      <c r="J867" s="7" t="s">
        <v>43</v>
      </c>
      <c r="K867" s="7" t="s">
        <v>37</v>
      </c>
      <c r="L867" s="7"/>
      <c r="M867" s="10">
        <v>8.43</v>
      </c>
      <c r="N867" s="7" t="s">
        <v>62</v>
      </c>
      <c r="O867" s="7"/>
      <c r="P867" s="8" t="s">
        <v>39</v>
      </c>
      <c r="Q867">
        <v>2.48</v>
      </c>
      <c r="R867">
        <v>16.5</v>
      </c>
      <c r="S867" t="s">
        <v>53</v>
      </c>
      <c r="T867">
        <v>7</v>
      </c>
      <c r="U867">
        <f t="shared" si="65"/>
        <v>17.36</v>
      </c>
      <c r="V867">
        <v>1.26</v>
      </c>
      <c r="W867">
        <v>0</v>
      </c>
      <c r="X867">
        <v>0</v>
      </c>
      <c r="Y867">
        <f t="shared" si="66"/>
        <v>0</v>
      </c>
      <c r="Z867">
        <f t="shared" si="67"/>
        <v>21.8736</v>
      </c>
      <c r="AA867">
        <f t="shared" si="68"/>
        <v>21.8736</v>
      </c>
      <c r="AB867">
        <f t="shared" si="69"/>
        <v>184.39444799999998</v>
      </c>
    </row>
    <row r="868" spans="1:28" ht="25.5" x14ac:dyDescent="0.25">
      <c r="A868" s="7">
        <v>867</v>
      </c>
      <c r="B868" s="7" t="s">
        <v>15</v>
      </c>
      <c r="C868" s="7" t="s">
        <v>45</v>
      </c>
      <c r="D868" s="7" t="s">
        <v>964</v>
      </c>
      <c r="E868" s="7"/>
      <c r="F868" s="8"/>
      <c r="G868" s="7" t="s">
        <v>964</v>
      </c>
      <c r="H868" s="9">
        <v>36.628990999999999</v>
      </c>
      <c r="I868" s="9">
        <v>10.326181</v>
      </c>
      <c r="J868" s="7" t="s">
        <v>47</v>
      </c>
      <c r="K868" s="7" t="s">
        <v>37</v>
      </c>
      <c r="L868" s="7"/>
      <c r="M868" s="10">
        <v>17.04</v>
      </c>
      <c r="N868" s="7" t="s">
        <v>66</v>
      </c>
      <c r="O868" s="7"/>
      <c r="P868" s="8" t="s">
        <v>39</v>
      </c>
      <c r="Q868">
        <v>1.93</v>
      </c>
      <c r="R868">
        <v>31.8</v>
      </c>
      <c r="S868" t="s">
        <v>58</v>
      </c>
      <c r="T868">
        <v>10</v>
      </c>
      <c r="U868">
        <f t="shared" si="65"/>
        <v>19.3</v>
      </c>
      <c r="V868">
        <v>0.72</v>
      </c>
      <c r="W868">
        <v>160</v>
      </c>
      <c r="X868">
        <v>0.35</v>
      </c>
      <c r="Y868">
        <f t="shared" si="66"/>
        <v>56</v>
      </c>
      <c r="Z868">
        <f t="shared" si="67"/>
        <v>13.896000000000001</v>
      </c>
      <c r="AA868">
        <f t="shared" si="68"/>
        <v>0</v>
      </c>
      <c r="AB868">
        <f t="shared" si="69"/>
        <v>0</v>
      </c>
    </row>
    <row r="869" spans="1:28" ht="25.5" x14ac:dyDescent="0.25">
      <c r="A869" s="7">
        <v>868</v>
      </c>
      <c r="B869" s="7" t="s">
        <v>15</v>
      </c>
      <c r="C869" s="7" t="s">
        <v>49</v>
      </c>
      <c r="D869" s="7" t="s">
        <v>965</v>
      </c>
      <c r="E869" s="7"/>
      <c r="F869" s="8"/>
      <c r="G869" s="7" t="s">
        <v>965</v>
      </c>
      <c r="H869" s="9">
        <v>37.138679000000003</v>
      </c>
      <c r="I869" s="9">
        <v>9.7863349999999993</v>
      </c>
      <c r="J869" s="7" t="s">
        <v>51</v>
      </c>
      <c r="K869" s="7" t="s">
        <v>37</v>
      </c>
      <c r="L869" s="7"/>
      <c r="M869" s="10">
        <v>6.4</v>
      </c>
      <c r="N869" s="7" t="s">
        <v>70</v>
      </c>
      <c r="O869" s="7"/>
      <c r="P869" s="8" t="s">
        <v>39</v>
      </c>
      <c r="Q869">
        <v>4.28</v>
      </c>
      <c r="R869">
        <v>28.5</v>
      </c>
      <c r="S869" t="s">
        <v>58</v>
      </c>
      <c r="T869">
        <v>9</v>
      </c>
      <c r="U869">
        <f t="shared" si="65"/>
        <v>38.520000000000003</v>
      </c>
      <c r="V869">
        <v>0.81</v>
      </c>
      <c r="W869">
        <v>80</v>
      </c>
      <c r="X869">
        <v>0.35</v>
      </c>
      <c r="Y869">
        <f t="shared" si="66"/>
        <v>28</v>
      </c>
      <c r="Z869">
        <f t="shared" si="67"/>
        <v>31.201200000000004</v>
      </c>
      <c r="AA869">
        <f t="shared" si="68"/>
        <v>3.2012000000000036</v>
      </c>
      <c r="AB869">
        <f t="shared" si="69"/>
        <v>20.487680000000026</v>
      </c>
    </row>
    <row r="870" spans="1:28" ht="25.5" x14ac:dyDescent="0.25">
      <c r="A870" s="7">
        <v>869</v>
      </c>
      <c r="B870" s="7" t="s">
        <v>15</v>
      </c>
      <c r="C870" s="7" t="s">
        <v>54</v>
      </c>
      <c r="D870" s="7" t="s">
        <v>966</v>
      </c>
      <c r="E870" s="7"/>
      <c r="F870" s="8"/>
      <c r="G870" s="7" t="s">
        <v>966</v>
      </c>
      <c r="H870" s="9">
        <v>33.633015</v>
      </c>
      <c r="I870" s="9">
        <v>10.26937</v>
      </c>
      <c r="J870" s="7" t="s">
        <v>56</v>
      </c>
      <c r="K870" s="7" t="s">
        <v>37</v>
      </c>
      <c r="L870" s="7"/>
      <c r="M870" s="10">
        <v>14.16</v>
      </c>
      <c r="N870" s="7" t="s">
        <v>74</v>
      </c>
      <c r="O870" s="7"/>
      <c r="P870" s="8" t="s">
        <v>39</v>
      </c>
      <c r="Q870">
        <v>2.86</v>
      </c>
      <c r="R870">
        <v>43.2</v>
      </c>
      <c r="S870" t="s">
        <v>40</v>
      </c>
      <c r="T870">
        <v>10</v>
      </c>
      <c r="U870">
        <f t="shared" si="65"/>
        <v>28.599999999999998</v>
      </c>
      <c r="V870">
        <v>0.54</v>
      </c>
      <c r="W870">
        <v>0</v>
      </c>
      <c r="X870">
        <v>0</v>
      </c>
      <c r="Y870">
        <f t="shared" si="66"/>
        <v>0</v>
      </c>
      <c r="Z870">
        <f t="shared" si="67"/>
        <v>15.443999999999999</v>
      </c>
      <c r="AA870">
        <f t="shared" si="68"/>
        <v>15.443999999999999</v>
      </c>
      <c r="AB870">
        <f t="shared" si="69"/>
        <v>218.68704</v>
      </c>
    </row>
    <row r="871" spans="1:28" ht="25.5" x14ac:dyDescent="0.25">
      <c r="A871" s="7">
        <v>870</v>
      </c>
      <c r="B871" s="7" t="s">
        <v>15</v>
      </c>
      <c r="C871" s="7" t="s">
        <v>59</v>
      </c>
      <c r="D871" s="7" t="s">
        <v>967</v>
      </c>
      <c r="E871" s="7"/>
      <c r="F871" s="8"/>
      <c r="G871" s="7" t="s">
        <v>967</v>
      </c>
      <c r="H871" s="9">
        <v>34.314329999999998</v>
      </c>
      <c r="I871" s="9">
        <v>8.4230970000000003</v>
      </c>
      <c r="J871" s="7" t="s">
        <v>61</v>
      </c>
      <c r="K871" s="7" t="s">
        <v>37</v>
      </c>
      <c r="L871" s="7"/>
      <c r="M871" s="10">
        <v>11.21</v>
      </c>
      <c r="N871" s="7" t="s">
        <v>78</v>
      </c>
      <c r="O871" s="7"/>
      <c r="P871" s="8" t="s">
        <v>39</v>
      </c>
      <c r="Q871">
        <v>6.99</v>
      </c>
      <c r="R871">
        <v>23.1</v>
      </c>
      <c r="S871" t="s">
        <v>53</v>
      </c>
      <c r="T871">
        <v>14</v>
      </c>
      <c r="U871">
        <f t="shared" si="65"/>
        <v>97.86</v>
      </c>
      <c r="V871">
        <v>1.1499999999999999</v>
      </c>
      <c r="W871">
        <v>0</v>
      </c>
      <c r="X871">
        <v>0</v>
      </c>
      <c r="Y871">
        <f t="shared" si="66"/>
        <v>0</v>
      </c>
      <c r="Z871">
        <f t="shared" si="67"/>
        <v>112.53899999999999</v>
      </c>
      <c r="AA871">
        <f t="shared" si="68"/>
        <v>112.53899999999999</v>
      </c>
      <c r="AB871">
        <f t="shared" si="69"/>
        <v>1261.5621899999999</v>
      </c>
    </row>
    <row r="872" spans="1:28" ht="25.5" x14ac:dyDescent="0.25">
      <c r="A872" s="7">
        <v>871</v>
      </c>
      <c r="B872" s="7" t="s">
        <v>15</v>
      </c>
      <c r="C872" s="7" t="s">
        <v>63</v>
      </c>
      <c r="D872" s="7" t="s">
        <v>968</v>
      </c>
      <c r="E872" s="7"/>
      <c r="F872" s="8"/>
      <c r="G872" s="7" t="s">
        <v>968</v>
      </c>
      <c r="H872" s="9">
        <v>36.939158999999997</v>
      </c>
      <c r="I872" s="9">
        <v>8.7728830000000002</v>
      </c>
      <c r="J872" s="7" t="s">
        <v>65</v>
      </c>
      <c r="K872" s="7" t="s">
        <v>37</v>
      </c>
      <c r="L872" s="7"/>
      <c r="M872" s="10">
        <v>10.88</v>
      </c>
      <c r="N872" s="7" t="s">
        <v>38</v>
      </c>
      <c r="O872" s="7"/>
      <c r="P872" s="8" t="s">
        <v>39</v>
      </c>
      <c r="Q872">
        <v>4.2300000000000004</v>
      </c>
      <c r="R872">
        <v>31.4</v>
      </c>
      <c r="S872" t="s">
        <v>58</v>
      </c>
      <c r="T872">
        <v>18</v>
      </c>
      <c r="U872">
        <f t="shared" si="65"/>
        <v>76.140000000000015</v>
      </c>
      <c r="V872">
        <v>0.9</v>
      </c>
      <c r="W872">
        <v>160</v>
      </c>
      <c r="X872">
        <v>0.35</v>
      </c>
      <c r="Y872">
        <f t="shared" si="66"/>
        <v>56</v>
      </c>
      <c r="Z872">
        <f t="shared" si="67"/>
        <v>68.52600000000001</v>
      </c>
      <c r="AA872">
        <f t="shared" si="68"/>
        <v>12.52600000000001</v>
      </c>
      <c r="AB872">
        <f t="shared" si="69"/>
        <v>136.28288000000012</v>
      </c>
    </row>
    <row r="873" spans="1:28" ht="25.5" x14ac:dyDescent="0.25">
      <c r="A873" s="7">
        <v>872</v>
      </c>
      <c r="B873" s="7" t="s">
        <v>15</v>
      </c>
      <c r="C873" s="7" t="s">
        <v>67</v>
      </c>
      <c r="D873" s="7" t="s">
        <v>969</v>
      </c>
      <c r="E873" s="7"/>
      <c r="F873" s="8"/>
      <c r="G873" s="7" t="s">
        <v>969</v>
      </c>
      <c r="H873" s="9">
        <v>35.620434000000003</v>
      </c>
      <c r="I873" s="9">
        <v>9.9039850000000005</v>
      </c>
      <c r="J873" s="7" t="s">
        <v>69</v>
      </c>
      <c r="K873" s="7" t="s">
        <v>37</v>
      </c>
      <c r="L873" s="7"/>
      <c r="M873" s="10">
        <v>6.96</v>
      </c>
      <c r="N873" s="7" t="s">
        <v>44</v>
      </c>
      <c r="O873" s="7"/>
      <c r="P873" s="8" t="s">
        <v>39</v>
      </c>
      <c r="Q873">
        <v>2.31</v>
      </c>
      <c r="R873">
        <v>37.200000000000003</v>
      </c>
      <c r="S873" t="s">
        <v>40</v>
      </c>
      <c r="T873">
        <v>18</v>
      </c>
      <c r="U873">
        <f t="shared" si="65"/>
        <v>41.58</v>
      </c>
      <c r="V873">
        <v>0.6</v>
      </c>
      <c r="W873">
        <v>50</v>
      </c>
      <c r="X873">
        <v>0.35</v>
      </c>
      <c r="Y873">
        <f t="shared" si="66"/>
        <v>17.5</v>
      </c>
      <c r="Z873">
        <f t="shared" si="67"/>
        <v>24.947999999999997</v>
      </c>
      <c r="AA873">
        <f t="shared" si="68"/>
        <v>7.4479999999999968</v>
      </c>
      <c r="AB873">
        <f t="shared" si="69"/>
        <v>51.838079999999977</v>
      </c>
    </row>
    <row r="874" spans="1:28" ht="25.5" x14ac:dyDescent="0.25">
      <c r="A874" s="7">
        <v>873</v>
      </c>
      <c r="B874" s="7" t="s">
        <v>15</v>
      </c>
      <c r="C874" s="7" t="s">
        <v>71</v>
      </c>
      <c r="D874" s="7" t="s">
        <v>970</v>
      </c>
      <c r="E874" s="7"/>
      <c r="F874" s="8"/>
      <c r="G874" s="7" t="s">
        <v>970</v>
      </c>
      <c r="H874" s="9">
        <v>35.242910999999999</v>
      </c>
      <c r="I874" s="9">
        <v>9.1080220000000001</v>
      </c>
      <c r="J874" s="7" t="s">
        <v>73</v>
      </c>
      <c r="K874" s="7" t="s">
        <v>37</v>
      </c>
      <c r="L874" s="7"/>
      <c r="M874" s="10">
        <v>1.78</v>
      </c>
      <c r="N874" s="7" t="s">
        <v>48</v>
      </c>
      <c r="O874" s="7"/>
      <c r="P874" s="8" t="s">
        <v>39</v>
      </c>
      <c r="Q874">
        <v>6.27</v>
      </c>
      <c r="R874">
        <v>10.1</v>
      </c>
      <c r="S874" t="s">
        <v>91</v>
      </c>
      <c r="T874">
        <v>16</v>
      </c>
      <c r="U874">
        <f t="shared" si="65"/>
        <v>100.32</v>
      </c>
      <c r="V874">
        <v>1.22</v>
      </c>
      <c r="W874">
        <v>120</v>
      </c>
      <c r="X874">
        <v>0.35</v>
      </c>
      <c r="Y874">
        <f t="shared" si="66"/>
        <v>42</v>
      </c>
      <c r="Z874">
        <f t="shared" si="67"/>
        <v>122.39039999999999</v>
      </c>
      <c r="AA874">
        <f t="shared" si="68"/>
        <v>80.390399999999985</v>
      </c>
      <c r="AB874">
        <f t="shared" si="69"/>
        <v>143.09491199999997</v>
      </c>
    </row>
    <row r="875" spans="1:28" ht="25.5" x14ac:dyDescent="0.25">
      <c r="A875" s="7">
        <v>874</v>
      </c>
      <c r="B875" s="7" t="s">
        <v>15</v>
      </c>
      <c r="C875" s="7" t="s">
        <v>75</v>
      </c>
      <c r="D875" s="7" t="s">
        <v>971</v>
      </c>
      <c r="E875" s="7"/>
      <c r="F875" s="8"/>
      <c r="G875" s="7" t="s">
        <v>971</v>
      </c>
      <c r="H875" s="9">
        <v>33.447629999999997</v>
      </c>
      <c r="I875" s="9">
        <v>9.0395679999999992</v>
      </c>
      <c r="J875" s="7" t="s">
        <v>77</v>
      </c>
      <c r="K875" s="7" t="s">
        <v>37</v>
      </c>
      <c r="L875" s="7"/>
      <c r="M875" s="10">
        <v>8.23</v>
      </c>
      <c r="N875" s="7" t="s">
        <v>52</v>
      </c>
      <c r="O875" s="7"/>
      <c r="P875" s="8" t="s">
        <v>39</v>
      </c>
      <c r="Q875">
        <v>2.56</v>
      </c>
      <c r="R875">
        <v>23.3</v>
      </c>
      <c r="S875" t="s">
        <v>53</v>
      </c>
      <c r="T875">
        <v>12</v>
      </c>
      <c r="U875">
        <f t="shared" si="65"/>
        <v>30.72</v>
      </c>
      <c r="V875">
        <v>1.26</v>
      </c>
      <c r="W875">
        <v>0</v>
      </c>
      <c r="X875">
        <v>0</v>
      </c>
      <c r="Y875">
        <f t="shared" si="66"/>
        <v>0</v>
      </c>
      <c r="Z875">
        <f t="shared" si="67"/>
        <v>38.7072</v>
      </c>
      <c r="AA875">
        <f t="shared" si="68"/>
        <v>38.7072</v>
      </c>
      <c r="AB875">
        <f t="shared" si="69"/>
        <v>318.56025600000004</v>
      </c>
    </row>
    <row r="876" spans="1:28" ht="25.5" x14ac:dyDescent="0.25">
      <c r="A876" s="7">
        <v>875</v>
      </c>
      <c r="B876" s="7" t="s">
        <v>15</v>
      </c>
      <c r="C876" s="7" t="s">
        <v>79</v>
      </c>
      <c r="D876" s="7" t="s">
        <v>972</v>
      </c>
      <c r="E876" s="7"/>
      <c r="F876" s="8"/>
      <c r="G876" s="7" t="s">
        <v>972</v>
      </c>
      <c r="H876" s="9">
        <v>35.934238999999998</v>
      </c>
      <c r="I876" s="9">
        <v>8.8513710000000003</v>
      </c>
      <c r="J876" s="7" t="s">
        <v>81</v>
      </c>
      <c r="K876" s="7" t="s">
        <v>37</v>
      </c>
      <c r="L876" s="7"/>
      <c r="M876" s="10">
        <v>8.2799999999999994</v>
      </c>
      <c r="N876" s="7" t="s">
        <v>57</v>
      </c>
      <c r="O876" s="7"/>
      <c r="P876" s="8" t="s">
        <v>39</v>
      </c>
      <c r="Q876">
        <v>5.62</v>
      </c>
      <c r="R876">
        <v>28.7</v>
      </c>
      <c r="S876" t="s">
        <v>58</v>
      </c>
      <c r="T876">
        <v>8</v>
      </c>
      <c r="U876">
        <f t="shared" si="65"/>
        <v>44.96</v>
      </c>
      <c r="V876">
        <v>1.08</v>
      </c>
      <c r="W876">
        <v>120</v>
      </c>
      <c r="X876">
        <v>0.35</v>
      </c>
      <c r="Y876">
        <f t="shared" si="66"/>
        <v>42</v>
      </c>
      <c r="Z876">
        <f t="shared" si="67"/>
        <v>48.556800000000003</v>
      </c>
      <c r="AA876">
        <f t="shared" si="68"/>
        <v>6.5568000000000026</v>
      </c>
      <c r="AB876">
        <f t="shared" si="69"/>
        <v>54.29030400000002</v>
      </c>
    </row>
    <row r="877" spans="1:28" ht="25.5" x14ac:dyDescent="0.25">
      <c r="A877" s="7">
        <v>876</v>
      </c>
      <c r="B877" s="7" t="s">
        <v>15</v>
      </c>
      <c r="C877" s="7" t="s">
        <v>82</v>
      </c>
      <c r="D877" s="7" t="s">
        <v>973</v>
      </c>
      <c r="E877" s="7"/>
      <c r="F877" s="8"/>
      <c r="G877" s="7" t="s">
        <v>973</v>
      </c>
      <c r="H877" s="9">
        <v>35.235053000000001</v>
      </c>
      <c r="I877" s="9">
        <v>11.12744</v>
      </c>
      <c r="J877" s="7" t="s">
        <v>84</v>
      </c>
      <c r="K877" s="7" t="s">
        <v>37</v>
      </c>
      <c r="L877" s="7"/>
      <c r="M877" s="10">
        <v>0.81</v>
      </c>
      <c r="N877" s="7" t="s">
        <v>62</v>
      </c>
      <c r="O877" s="7"/>
      <c r="P877" s="8" t="s">
        <v>39</v>
      </c>
      <c r="Q877">
        <v>7.2</v>
      </c>
      <c r="R877">
        <v>30.4</v>
      </c>
      <c r="S877" t="s">
        <v>58</v>
      </c>
      <c r="T877">
        <v>7</v>
      </c>
      <c r="U877">
        <f t="shared" si="65"/>
        <v>50.4</v>
      </c>
      <c r="V877">
        <v>0.99</v>
      </c>
      <c r="W877">
        <v>160</v>
      </c>
      <c r="X877">
        <v>0.35</v>
      </c>
      <c r="Y877">
        <f t="shared" si="66"/>
        <v>56</v>
      </c>
      <c r="Z877">
        <f t="shared" si="67"/>
        <v>49.896000000000001</v>
      </c>
      <c r="AA877">
        <f t="shared" si="68"/>
        <v>0</v>
      </c>
      <c r="AB877">
        <f t="shared" si="69"/>
        <v>0</v>
      </c>
    </row>
    <row r="878" spans="1:28" ht="25.5" x14ac:dyDescent="0.25">
      <c r="A878" s="7">
        <v>877</v>
      </c>
      <c r="B878" s="7" t="s">
        <v>15</v>
      </c>
      <c r="C878" s="7" t="s">
        <v>85</v>
      </c>
      <c r="D878" s="7" t="s">
        <v>974</v>
      </c>
      <c r="E878" s="7"/>
      <c r="F878" s="8"/>
      <c r="G878" s="7" t="s">
        <v>974</v>
      </c>
      <c r="H878" s="9">
        <v>36.854582999999998</v>
      </c>
      <c r="I878" s="9">
        <v>9.8420660000000009</v>
      </c>
      <c r="J878" s="7" t="s">
        <v>87</v>
      </c>
      <c r="K878" s="7" t="s">
        <v>37</v>
      </c>
      <c r="L878" s="7"/>
      <c r="M878" s="10">
        <v>10.67</v>
      </c>
      <c r="N878" s="7" t="s">
        <v>66</v>
      </c>
      <c r="O878" s="7"/>
      <c r="P878" s="8" t="s">
        <v>39</v>
      </c>
      <c r="Q878">
        <v>2.23</v>
      </c>
      <c r="R878">
        <v>37.4</v>
      </c>
      <c r="S878" t="s">
        <v>40</v>
      </c>
      <c r="T878">
        <v>10</v>
      </c>
      <c r="U878">
        <f t="shared" si="65"/>
        <v>22.3</v>
      </c>
      <c r="V878">
        <v>0.48</v>
      </c>
      <c r="W878">
        <v>0</v>
      </c>
      <c r="X878">
        <v>0</v>
      </c>
      <c r="Y878">
        <f t="shared" si="66"/>
        <v>0</v>
      </c>
      <c r="Z878">
        <f t="shared" si="67"/>
        <v>10.704000000000001</v>
      </c>
      <c r="AA878">
        <f t="shared" si="68"/>
        <v>10.704000000000001</v>
      </c>
      <c r="AB878">
        <f t="shared" si="69"/>
        <v>114.21168</v>
      </c>
    </row>
    <row r="879" spans="1:28" ht="25.5" x14ac:dyDescent="0.25">
      <c r="A879" s="7">
        <v>878</v>
      </c>
      <c r="B879" s="7" t="s">
        <v>15</v>
      </c>
      <c r="C879" s="7" t="s">
        <v>88</v>
      </c>
      <c r="D879" s="7" t="s">
        <v>975</v>
      </c>
      <c r="E879" s="7"/>
      <c r="F879" s="8"/>
      <c r="G879" s="7" t="s">
        <v>975</v>
      </c>
      <c r="H879" s="9">
        <v>33.824142999999999</v>
      </c>
      <c r="I879" s="9">
        <v>10.980233</v>
      </c>
      <c r="J879" s="7" t="s">
        <v>90</v>
      </c>
      <c r="K879" s="7" t="s">
        <v>37</v>
      </c>
      <c r="L879" s="7"/>
      <c r="M879" s="10">
        <v>9.0299999999999994</v>
      </c>
      <c r="N879" s="7" t="s">
        <v>70</v>
      </c>
      <c r="O879" s="7"/>
      <c r="P879" s="8" t="s">
        <v>39</v>
      </c>
      <c r="Q879">
        <v>2.0699999999999998</v>
      </c>
      <c r="R879">
        <v>25.8</v>
      </c>
      <c r="S879" t="s">
        <v>58</v>
      </c>
      <c r="T879">
        <v>9</v>
      </c>
      <c r="U879">
        <f t="shared" si="65"/>
        <v>18.63</v>
      </c>
      <c r="V879">
        <v>0.81</v>
      </c>
      <c r="W879">
        <v>0</v>
      </c>
      <c r="X879">
        <v>0</v>
      </c>
      <c r="Y879">
        <f t="shared" si="66"/>
        <v>0</v>
      </c>
      <c r="Z879">
        <f t="shared" si="67"/>
        <v>15.090300000000001</v>
      </c>
      <c r="AA879">
        <f t="shared" si="68"/>
        <v>15.090300000000001</v>
      </c>
      <c r="AB879">
        <f t="shared" si="69"/>
        <v>136.26540900000001</v>
      </c>
    </row>
    <row r="880" spans="1:28" ht="25.5" x14ac:dyDescent="0.25">
      <c r="A880" s="7">
        <v>879</v>
      </c>
      <c r="B880" s="7" t="s">
        <v>15</v>
      </c>
      <c r="C880" s="7" t="s">
        <v>92</v>
      </c>
      <c r="D880" s="7" t="s">
        <v>976</v>
      </c>
      <c r="E880" s="7"/>
      <c r="F880" s="8"/>
      <c r="G880" s="7" t="s">
        <v>976</v>
      </c>
      <c r="H880" s="9">
        <v>35.606364999999997</v>
      </c>
      <c r="I880" s="9">
        <v>10.745258</v>
      </c>
      <c r="J880" s="7" t="s">
        <v>94</v>
      </c>
      <c r="K880" s="7" t="s">
        <v>37</v>
      </c>
      <c r="L880" s="7"/>
      <c r="M880" s="10">
        <v>11.54</v>
      </c>
      <c r="N880" s="7" t="s">
        <v>74</v>
      </c>
      <c r="O880" s="7"/>
      <c r="P880" s="8" t="s">
        <v>39</v>
      </c>
      <c r="Q880">
        <v>6.55</v>
      </c>
      <c r="R880">
        <v>43</v>
      </c>
      <c r="S880" t="s">
        <v>40</v>
      </c>
      <c r="T880">
        <v>10</v>
      </c>
      <c r="U880">
        <f t="shared" si="65"/>
        <v>65.5</v>
      </c>
      <c r="V880">
        <v>0.54</v>
      </c>
      <c r="W880">
        <v>0</v>
      </c>
      <c r="X880">
        <v>0</v>
      </c>
      <c r="Y880">
        <f t="shared" si="66"/>
        <v>0</v>
      </c>
      <c r="Z880">
        <f t="shared" si="67"/>
        <v>35.370000000000005</v>
      </c>
      <c r="AA880">
        <f t="shared" si="68"/>
        <v>35.370000000000005</v>
      </c>
      <c r="AB880">
        <f t="shared" si="69"/>
        <v>408.16980000000001</v>
      </c>
    </row>
    <row r="881" spans="1:28" ht="25.5" x14ac:dyDescent="0.25">
      <c r="A881" s="7">
        <v>880</v>
      </c>
      <c r="B881" s="7" t="s">
        <v>15</v>
      </c>
      <c r="C881" s="7" t="s">
        <v>95</v>
      </c>
      <c r="D881" s="7" t="s">
        <v>977</v>
      </c>
      <c r="E881" s="7"/>
      <c r="F881" s="8"/>
      <c r="G881" s="7" t="s">
        <v>977</v>
      </c>
      <c r="H881" s="9">
        <v>36.569892000000003</v>
      </c>
      <c r="I881" s="9">
        <v>10.876348</v>
      </c>
      <c r="J881" s="7" t="s">
        <v>97</v>
      </c>
      <c r="K881" s="7" t="s">
        <v>37</v>
      </c>
      <c r="L881" s="7"/>
      <c r="M881" s="10">
        <v>22.21</v>
      </c>
      <c r="N881" s="7" t="s">
        <v>78</v>
      </c>
      <c r="O881" s="7"/>
      <c r="P881" s="8" t="s">
        <v>39</v>
      </c>
      <c r="Q881">
        <v>3.22</v>
      </c>
      <c r="R881">
        <v>42.6</v>
      </c>
      <c r="S881" t="s">
        <v>40</v>
      </c>
      <c r="T881">
        <v>14</v>
      </c>
      <c r="U881">
        <f t="shared" si="65"/>
        <v>45.080000000000005</v>
      </c>
      <c r="V881">
        <v>0.6</v>
      </c>
      <c r="W881">
        <v>160</v>
      </c>
      <c r="X881">
        <v>0.35</v>
      </c>
      <c r="Y881">
        <f t="shared" si="66"/>
        <v>56</v>
      </c>
      <c r="Z881">
        <f t="shared" si="67"/>
        <v>27.048000000000002</v>
      </c>
      <c r="AA881">
        <f t="shared" si="68"/>
        <v>0</v>
      </c>
      <c r="AB881">
        <f t="shared" si="69"/>
        <v>0</v>
      </c>
    </row>
    <row r="882" spans="1:28" ht="25.5" x14ac:dyDescent="0.25">
      <c r="A882" s="7">
        <v>881</v>
      </c>
      <c r="B882" s="7" t="s">
        <v>15</v>
      </c>
      <c r="C882" s="7" t="s">
        <v>98</v>
      </c>
      <c r="D882" s="7" t="s">
        <v>978</v>
      </c>
      <c r="E882" s="7"/>
      <c r="F882" s="8"/>
      <c r="G882" s="7" t="s">
        <v>978</v>
      </c>
      <c r="H882" s="9">
        <v>34.731780000000001</v>
      </c>
      <c r="I882" s="9">
        <v>10.509708</v>
      </c>
      <c r="J882" s="7" t="s">
        <v>100</v>
      </c>
      <c r="K882" s="7" t="s">
        <v>37</v>
      </c>
      <c r="L882" s="7"/>
      <c r="M882" s="10">
        <v>21.83</v>
      </c>
      <c r="N882" s="7" t="s">
        <v>38</v>
      </c>
      <c r="O882" s="7"/>
      <c r="P882" s="8" t="s">
        <v>39</v>
      </c>
      <c r="Q882">
        <v>4.24</v>
      </c>
      <c r="R882">
        <v>31.9</v>
      </c>
      <c r="S882" t="s">
        <v>58</v>
      </c>
      <c r="T882">
        <v>18</v>
      </c>
      <c r="U882">
        <f t="shared" si="65"/>
        <v>76.320000000000007</v>
      </c>
      <c r="V882">
        <v>0.9</v>
      </c>
      <c r="W882">
        <v>0</v>
      </c>
      <c r="X882">
        <v>0</v>
      </c>
      <c r="Y882">
        <f t="shared" si="66"/>
        <v>0</v>
      </c>
      <c r="Z882">
        <f t="shared" si="67"/>
        <v>68.688000000000002</v>
      </c>
      <c r="AA882">
        <f t="shared" si="68"/>
        <v>68.688000000000002</v>
      </c>
      <c r="AB882">
        <f t="shared" si="69"/>
        <v>1499.45904</v>
      </c>
    </row>
    <row r="883" spans="1:28" ht="25.5" x14ac:dyDescent="0.25">
      <c r="A883" s="7">
        <v>882</v>
      </c>
      <c r="B883" s="7" t="s">
        <v>15</v>
      </c>
      <c r="C883" s="7" t="s">
        <v>101</v>
      </c>
      <c r="D883" s="7" t="s">
        <v>979</v>
      </c>
      <c r="E883" s="7"/>
      <c r="F883" s="8"/>
      <c r="G883" s="7" t="s">
        <v>979</v>
      </c>
      <c r="H883" s="9">
        <v>34.895383000000002</v>
      </c>
      <c r="I883" s="9">
        <v>9.7757660000000008</v>
      </c>
      <c r="J883" s="7" t="s">
        <v>103</v>
      </c>
      <c r="K883" s="7" t="s">
        <v>37</v>
      </c>
      <c r="L883" s="7"/>
      <c r="M883" s="10">
        <v>17.329999999999998</v>
      </c>
      <c r="N883" s="7" t="s">
        <v>44</v>
      </c>
      <c r="O883" s="7"/>
      <c r="P883" s="8" t="s">
        <v>39</v>
      </c>
      <c r="Q883">
        <v>2.84</v>
      </c>
      <c r="R883">
        <v>15.3</v>
      </c>
      <c r="S883" t="s">
        <v>53</v>
      </c>
      <c r="T883">
        <v>18</v>
      </c>
      <c r="U883">
        <f t="shared" si="65"/>
        <v>51.12</v>
      </c>
      <c r="V883">
        <v>1.1499999999999999</v>
      </c>
      <c r="W883">
        <v>0</v>
      </c>
      <c r="X883">
        <v>0</v>
      </c>
      <c r="Y883">
        <f t="shared" si="66"/>
        <v>0</v>
      </c>
      <c r="Z883">
        <f t="shared" si="67"/>
        <v>58.78799999999999</v>
      </c>
      <c r="AA883">
        <f t="shared" si="68"/>
        <v>58.78799999999999</v>
      </c>
      <c r="AB883">
        <f t="shared" si="69"/>
        <v>1018.7960399999997</v>
      </c>
    </row>
    <row r="884" spans="1:28" ht="25.5" x14ac:dyDescent="0.25">
      <c r="A884" s="7">
        <v>883</v>
      </c>
      <c r="B884" s="7" t="s">
        <v>15</v>
      </c>
      <c r="C884" s="7" t="s">
        <v>104</v>
      </c>
      <c r="D884" s="7" t="s">
        <v>980</v>
      </c>
      <c r="E884" s="7"/>
      <c r="F884" s="8"/>
      <c r="G884" s="7" t="s">
        <v>980</v>
      </c>
      <c r="H884" s="9">
        <v>35.860612000000003</v>
      </c>
      <c r="I884" s="9">
        <v>9.2055950000000006</v>
      </c>
      <c r="J884" s="7" t="s">
        <v>106</v>
      </c>
      <c r="K884" s="7" t="s">
        <v>37</v>
      </c>
      <c r="L884" s="7"/>
      <c r="M884" s="10">
        <v>4.9000000000000004</v>
      </c>
      <c r="N884" s="7" t="s">
        <v>48</v>
      </c>
      <c r="O884" s="7"/>
      <c r="P884" s="8" t="s">
        <v>39</v>
      </c>
      <c r="Q884">
        <v>2</v>
      </c>
      <c r="R884">
        <v>37.4</v>
      </c>
      <c r="S884" t="s">
        <v>40</v>
      </c>
      <c r="T884">
        <v>16</v>
      </c>
      <c r="U884">
        <f t="shared" si="65"/>
        <v>32</v>
      </c>
      <c r="V884">
        <v>0.54</v>
      </c>
      <c r="W884">
        <v>0</v>
      </c>
      <c r="X884">
        <v>0</v>
      </c>
      <c r="Y884">
        <f t="shared" si="66"/>
        <v>0</v>
      </c>
      <c r="Z884">
        <f t="shared" si="67"/>
        <v>17.28</v>
      </c>
      <c r="AA884">
        <f t="shared" si="68"/>
        <v>17.28</v>
      </c>
      <c r="AB884">
        <f t="shared" si="69"/>
        <v>84.672000000000011</v>
      </c>
    </row>
    <row r="885" spans="1:28" ht="25.5" x14ac:dyDescent="0.25">
      <c r="A885" s="7">
        <v>884</v>
      </c>
      <c r="B885" s="7" t="s">
        <v>15</v>
      </c>
      <c r="C885" s="7" t="s">
        <v>107</v>
      </c>
      <c r="D885" s="7" t="s">
        <v>981</v>
      </c>
      <c r="E885" s="7"/>
      <c r="F885" s="8"/>
      <c r="G885" s="7" t="s">
        <v>981</v>
      </c>
      <c r="H885" s="9">
        <v>36.143796999999999</v>
      </c>
      <c r="I885" s="9">
        <v>10.367485</v>
      </c>
      <c r="J885" s="7" t="s">
        <v>109</v>
      </c>
      <c r="K885" s="7" t="s">
        <v>37</v>
      </c>
      <c r="L885" s="7"/>
      <c r="M885" s="10">
        <v>18.34</v>
      </c>
      <c r="N885" s="7" t="s">
        <v>52</v>
      </c>
      <c r="O885" s="7"/>
      <c r="P885" s="8" t="s">
        <v>39</v>
      </c>
      <c r="Q885">
        <v>4.84</v>
      </c>
      <c r="R885">
        <v>33</v>
      </c>
      <c r="S885" t="s">
        <v>58</v>
      </c>
      <c r="T885">
        <v>12</v>
      </c>
      <c r="U885">
        <f t="shared" si="65"/>
        <v>58.08</v>
      </c>
      <c r="V885">
        <v>0.99</v>
      </c>
      <c r="W885">
        <v>120</v>
      </c>
      <c r="X885">
        <v>0.35</v>
      </c>
      <c r="Y885">
        <f t="shared" si="66"/>
        <v>42</v>
      </c>
      <c r="Z885">
        <f t="shared" si="67"/>
        <v>57.499199999999995</v>
      </c>
      <c r="AA885">
        <f t="shared" si="68"/>
        <v>15.499199999999995</v>
      </c>
      <c r="AB885">
        <f t="shared" si="69"/>
        <v>284.25532799999991</v>
      </c>
    </row>
    <row r="886" spans="1:28" ht="25.5" x14ac:dyDescent="0.25">
      <c r="A886" s="7">
        <v>885</v>
      </c>
      <c r="B886" s="7" t="s">
        <v>15</v>
      </c>
      <c r="C886" s="7" t="s">
        <v>110</v>
      </c>
      <c r="D886" s="7" t="s">
        <v>982</v>
      </c>
      <c r="E886" s="7"/>
      <c r="F886" s="8"/>
      <c r="G886" s="7" t="s">
        <v>982</v>
      </c>
      <c r="H886" s="9">
        <v>33.191688999999997</v>
      </c>
      <c r="I886" s="9">
        <v>10.234230999999999</v>
      </c>
      <c r="J886" s="7" t="s">
        <v>112</v>
      </c>
      <c r="K886" s="7" t="s">
        <v>37</v>
      </c>
      <c r="L886" s="7"/>
      <c r="M886" s="10">
        <v>4.72</v>
      </c>
      <c r="N886" s="7" t="s">
        <v>57</v>
      </c>
      <c r="O886" s="7"/>
      <c r="P886" s="8" t="s">
        <v>39</v>
      </c>
      <c r="Q886">
        <v>4.07</v>
      </c>
      <c r="R886">
        <v>11.7</v>
      </c>
      <c r="S886" t="s">
        <v>91</v>
      </c>
      <c r="T886">
        <v>8</v>
      </c>
      <c r="U886">
        <f t="shared" si="65"/>
        <v>32.56</v>
      </c>
      <c r="V886">
        <v>1.6</v>
      </c>
      <c r="W886">
        <v>80</v>
      </c>
      <c r="X886">
        <v>0.35</v>
      </c>
      <c r="Y886">
        <f t="shared" si="66"/>
        <v>28</v>
      </c>
      <c r="Z886">
        <f t="shared" si="67"/>
        <v>52.096000000000004</v>
      </c>
      <c r="AA886">
        <f t="shared" si="68"/>
        <v>24.096000000000004</v>
      </c>
      <c r="AB886">
        <f t="shared" si="69"/>
        <v>113.73312000000001</v>
      </c>
    </row>
    <row r="887" spans="1:28" ht="25.5" x14ac:dyDescent="0.25">
      <c r="A887" s="7">
        <v>886</v>
      </c>
      <c r="B887" s="7" t="s">
        <v>15</v>
      </c>
      <c r="C887" s="7" t="s">
        <v>113</v>
      </c>
      <c r="D887" s="7" t="s">
        <v>983</v>
      </c>
      <c r="E887" s="7"/>
      <c r="F887" s="8"/>
      <c r="G887" s="7" t="s">
        <v>983</v>
      </c>
      <c r="H887" s="9">
        <v>33.848390999999999</v>
      </c>
      <c r="I887" s="9">
        <v>7.8948130000000001</v>
      </c>
      <c r="J887" s="7" t="s">
        <v>115</v>
      </c>
      <c r="K887" s="7" t="s">
        <v>37</v>
      </c>
      <c r="L887" s="7"/>
      <c r="M887" s="10">
        <v>6.18</v>
      </c>
      <c r="N887" s="7" t="s">
        <v>62</v>
      </c>
      <c r="O887" s="7"/>
      <c r="P887" s="8" t="s">
        <v>39</v>
      </c>
      <c r="Q887">
        <v>1.89</v>
      </c>
      <c r="R887">
        <v>31.5</v>
      </c>
      <c r="S887" t="s">
        <v>58</v>
      </c>
      <c r="T887">
        <v>7</v>
      </c>
      <c r="U887">
        <f t="shared" si="65"/>
        <v>13.229999999999999</v>
      </c>
      <c r="V887">
        <v>0.99</v>
      </c>
      <c r="W887">
        <v>80</v>
      </c>
      <c r="X887">
        <v>0.35</v>
      </c>
      <c r="Y887">
        <f t="shared" si="66"/>
        <v>28</v>
      </c>
      <c r="Z887">
        <f t="shared" si="67"/>
        <v>13.097699999999998</v>
      </c>
      <c r="AA887">
        <f t="shared" si="68"/>
        <v>0</v>
      </c>
      <c r="AB887">
        <f t="shared" si="69"/>
        <v>0</v>
      </c>
    </row>
    <row r="888" spans="1:28" ht="25.5" x14ac:dyDescent="0.25">
      <c r="A888" s="7">
        <v>887</v>
      </c>
      <c r="B888" s="7" t="s">
        <v>15</v>
      </c>
      <c r="C888" s="7" t="s">
        <v>116</v>
      </c>
      <c r="D888" s="7" t="s">
        <v>984</v>
      </c>
      <c r="E888" s="7"/>
      <c r="F888" s="8"/>
      <c r="G888" s="7" t="s">
        <v>984</v>
      </c>
      <c r="H888" s="9">
        <v>36.847904999999997</v>
      </c>
      <c r="I888" s="9">
        <v>10.316191999999999</v>
      </c>
      <c r="J888" s="7" t="s">
        <v>118</v>
      </c>
      <c r="K888" s="7" t="s">
        <v>37</v>
      </c>
      <c r="L888" s="7"/>
      <c r="M888" s="10">
        <v>19.53</v>
      </c>
      <c r="N888" s="7" t="s">
        <v>66</v>
      </c>
      <c r="O888" s="7"/>
      <c r="P888" s="8" t="s">
        <v>39</v>
      </c>
      <c r="Q888">
        <v>4.9000000000000004</v>
      </c>
      <c r="R888">
        <v>10.4</v>
      </c>
      <c r="S888" t="s">
        <v>91</v>
      </c>
      <c r="T888">
        <v>10</v>
      </c>
      <c r="U888">
        <f t="shared" si="65"/>
        <v>49</v>
      </c>
      <c r="V888">
        <v>1.08</v>
      </c>
      <c r="W888">
        <v>80</v>
      </c>
      <c r="X888">
        <v>0.35</v>
      </c>
      <c r="Y888">
        <f t="shared" si="66"/>
        <v>28</v>
      </c>
      <c r="Z888">
        <f t="shared" si="67"/>
        <v>52.92</v>
      </c>
      <c r="AA888">
        <f t="shared" si="68"/>
        <v>24.92</v>
      </c>
      <c r="AB888">
        <f t="shared" si="69"/>
        <v>486.68760000000009</v>
      </c>
    </row>
    <row r="889" spans="1:28" ht="25.5" x14ac:dyDescent="0.25">
      <c r="A889" s="7">
        <v>888</v>
      </c>
      <c r="B889" s="7" t="s">
        <v>15</v>
      </c>
      <c r="C889" s="7" t="s">
        <v>119</v>
      </c>
      <c r="D889" s="7" t="s">
        <v>985</v>
      </c>
      <c r="E889" s="7"/>
      <c r="F889" s="8"/>
      <c r="G889" s="7" t="s">
        <v>985</v>
      </c>
      <c r="H889" s="9">
        <v>36.378619999999998</v>
      </c>
      <c r="I889" s="9">
        <v>9.6355000000000004</v>
      </c>
      <c r="J889" s="7" t="s">
        <v>121</v>
      </c>
      <c r="K889" s="7" t="s">
        <v>37</v>
      </c>
      <c r="L889" s="7"/>
      <c r="M889" s="10">
        <v>7.94</v>
      </c>
      <c r="N889" s="7" t="s">
        <v>70</v>
      </c>
      <c r="O889" s="7"/>
      <c r="P889" s="8" t="s">
        <v>39</v>
      </c>
      <c r="Q889">
        <v>3.95</v>
      </c>
      <c r="R889">
        <v>26.6</v>
      </c>
      <c r="S889" t="s">
        <v>58</v>
      </c>
      <c r="T889">
        <v>9</v>
      </c>
      <c r="U889">
        <f t="shared" si="65"/>
        <v>35.550000000000004</v>
      </c>
      <c r="V889">
        <v>0.81</v>
      </c>
      <c r="W889">
        <v>160</v>
      </c>
      <c r="X889">
        <v>0.35</v>
      </c>
      <c r="Y889">
        <f t="shared" si="66"/>
        <v>56</v>
      </c>
      <c r="Z889">
        <f t="shared" si="67"/>
        <v>28.795500000000004</v>
      </c>
      <c r="AA889">
        <f t="shared" si="68"/>
        <v>0</v>
      </c>
      <c r="AB889">
        <f t="shared" si="69"/>
        <v>0</v>
      </c>
    </row>
    <row r="890" spans="1:28" ht="25.5" x14ac:dyDescent="0.25">
      <c r="A890" s="7">
        <v>889</v>
      </c>
      <c r="B890" s="7" t="s">
        <v>15</v>
      </c>
      <c r="C890" s="7" t="s">
        <v>34</v>
      </c>
      <c r="D890" s="7" t="s">
        <v>986</v>
      </c>
      <c r="E890" s="7"/>
      <c r="F890" s="8"/>
      <c r="G890" s="7" t="s">
        <v>986</v>
      </c>
      <c r="H890" s="9">
        <v>36.902481999999999</v>
      </c>
      <c r="I890" s="9">
        <v>10.213342000000001</v>
      </c>
      <c r="J890" s="7" t="s">
        <v>36</v>
      </c>
      <c r="K890" s="7" t="s">
        <v>37</v>
      </c>
      <c r="L890" s="7"/>
      <c r="M890" s="10">
        <v>8.68</v>
      </c>
      <c r="N890" s="7" t="s">
        <v>74</v>
      </c>
      <c r="O890" s="7"/>
      <c r="P890" s="8" t="s">
        <v>39</v>
      </c>
      <c r="Q890">
        <v>5.6</v>
      </c>
      <c r="R890">
        <v>13.8</v>
      </c>
      <c r="S890" t="s">
        <v>91</v>
      </c>
      <c r="T890">
        <v>10</v>
      </c>
      <c r="U890">
        <f t="shared" si="65"/>
        <v>56</v>
      </c>
      <c r="V890">
        <v>1.22</v>
      </c>
      <c r="W890">
        <v>120</v>
      </c>
      <c r="X890">
        <v>0.35</v>
      </c>
      <c r="Y890">
        <f t="shared" si="66"/>
        <v>42</v>
      </c>
      <c r="Z890">
        <f t="shared" si="67"/>
        <v>68.319999999999993</v>
      </c>
      <c r="AA890">
        <f t="shared" si="68"/>
        <v>26.319999999999993</v>
      </c>
      <c r="AB890">
        <f t="shared" si="69"/>
        <v>228.45759999999993</v>
      </c>
    </row>
    <row r="891" spans="1:28" ht="25.5" x14ac:dyDescent="0.25">
      <c r="A891" s="7">
        <v>890</v>
      </c>
      <c r="B891" s="7" t="s">
        <v>15</v>
      </c>
      <c r="C891" s="7" t="s">
        <v>41</v>
      </c>
      <c r="D891" s="7" t="s">
        <v>987</v>
      </c>
      <c r="E891" s="7"/>
      <c r="F891" s="8"/>
      <c r="G891" s="7" t="s">
        <v>987</v>
      </c>
      <c r="H891" s="9">
        <v>36.640504</v>
      </c>
      <c r="I891" s="9">
        <v>9.6122270000000007</v>
      </c>
      <c r="J891" s="7" t="s">
        <v>43</v>
      </c>
      <c r="K891" s="7" t="s">
        <v>37</v>
      </c>
      <c r="L891" s="7"/>
      <c r="M891" s="10">
        <v>24.93</v>
      </c>
      <c r="N891" s="7" t="s">
        <v>78</v>
      </c>
      <c r="O891" s="7"/>
      <c r="P891" s="8" t="s">
        <v>39</v>
      </c>
      <c r="Q891">
        <v>5.01</v>
      </c>
      <c r="R891">
        <v>34.5</v>
      </c>
      <c r="S891" t="s">
        <v>58</v>
      </c>
      <c r="T891">
        <v>14</v>
      </c>
      <c r="U891">
        <f t="shared" si="65"/>
        <v>70.14</v>
      </c>
      <c r="V891">
        <v>0.9</v>
      </c>
      <c r="W891">
        <v>0</v>
      </c>
      <c r="X891">
        <v>0</v>
      </c>
      <c r="Y891">
        <f t="shared" si="66"/>
        <v>0</v>
      </c>
      <c r="Z891">
        <f t="shared" si="67"/>
        <v>63.126000000000005</v>
      </c>
      <c r="AA891">
        <f t="shared" si="68"/>
        <v>63.126000000000005</v>
      </c>
      <c r="AB891">
        <f t="shared" si="69"/>
        <v>1573.73118</v>
      </c>
    </row>
    <row r="892" spans="1:28" ht="25.5" x14ac:dyDescent="0.25">
      <c r="A892" s="7">
        <v>891</v>
      </c>
      <c r="B892" s="7" t="s">
        <v>15</v>
      </c>
      <c r="C892" s="7" t="s">
        <v>45</v>
      </c>
      <c r="D892" s="7" t="s">
        <v>988</v>
      </c>
      <c r="E892" s="7"/>
      <c r="F892" s="8"/>
      <c r="G892" s="7" t="s">
        <v>988</v>
      </c>
      <c r="H892" s="9">
        <v>36.625383999999997</v>
      </c>
      <c r="I892" s="9">
        <v>10.313966000000001</v>
      </c>
      <c r="J892" s="7" t="s">
        <v>47</v>
      </c>
      <c r="K892" s="7" t="s">
        <v>37</v>
      </c>
      <c r="L892" s="7"/>
      <c r="M892" s="10">
        <v>21.1</v>
      </c>
      <c r="N892" s="7" t="s">
        <v>38</v>
      </c>
      <c r="O892" s="7"/>
      <c r="P892" s="8" t="s">
        <v>39</v>
      </c>
      <c r="Q892">
        <v>4.3899999999999997</v>
      </c>
      <c r="R892">
        <v>30.3</v>
      </c>
      <c r="S892" t="s">
        <v>58</v>
      </c>
      <c r="T892">
        <v>18</v>
      </c>
      <c r="U892">
        <f t="shared" si="65"/>
        <v>79.02</v>
      </c>
      <c r="V892">
        <v>0.9</v>
      </c>
      <c r="W892">
        <v>0</v>
      </c>
      <c r="X892">
        <v>0</v>
      </c>
      <c r="Y892">
        <f t="shared" si="66"/>
        <v>0</v>
      </c>
      <c r="Z892">
        <f t="shared" si="67"/>
        <v>71.117999999999995</v>
      </c>
      <c r="AA892">
        <f t="shared" si="68"/>
        <v>71.117999999999995</v>
      </c>
      <c r="AB892">
        <f t="shared" si="69"/>
        <v>1500.5898</v>
      </c>
    </row>
    <row r="893" spans="1:28" ht="25.5" x14ac:dyDescent="0.25">
      <c r="A893" s="7">
        <v>892</v>
      </c>
      <c r="B893" s="7" t="s">
        <v>15</v>
      </c>
      <c r="C893" s="7" t="s">
        <v>49</v>
      </c>
      <c r="D893" s="7" t="s">
        <v>989</v>
      </c>
      <c r="E893" s="7"/>
      <c r="F893" s="8"/>
      <c r="G893" s="7" t="s">
        <v>989</v>
      </c>
      <c r="H893" s="9">
        <v>37.156422999999997</v>
      </c>
      <c r="I893" s="9">
        <v>9.8038620000000005</v>
      </c>
      <c r="J893" s="7" t="s">
        <v>51</v>
      </c>
      <c r="K893" s="7" t="s">
        <v>37</v>
      </c>
      <c r="L893" s="7"/>
      <c r="M893" s="10">
        <v>16.760000000000002</v>
      </c>
      <c r="N893" s="7" t="s">
        <v>44</v>
      </c>
      <c r="O893" s="7"/>
      <c r="P893" s="8" t="s">
        <v>39</v>
      </c>
      <c r="Q893">
        <v>5.48</v>
      </c>
      <c r="R893">
        <v>17</v>
      </c>
      <c r="S893" t="s">
        <v>53</v>
      </c>
      <c r="T893">
        <v>18</v>
      </c>
      <c r="U893">
        <f t="shared" si="65"/>
        <v>98.640000000000015</v>
      </c>
      <c r="V893">
        <v>1.1499999999999999</v>
      </c>
      <c r="W893">
        <v>80</v>
      </c>
      <c r="X893">
        <v>0.35</v>
      </c>
      <c r="Y893">
        <f t="shared" si="66"/>
        <v>28</v>
      </c>
      <c r="Z893">
        <f t="shared" si="67"/>
        <v>113.43600000000001</v>
      </c>
      <c r="AA893">
        <f t="shared" si="68"/>
        <v>85.436000000000007</v>
      </c>
      <c r="AB893">
        <f t="shared" si="69"/>
        <v>1431.9073600000002</v>
      </c>
    </row>
    <row r="894" spans="1:28" ht="25.5" x14ac:dyDescent="0.25">
      <c r="A894" s="7">
        <v>893</v>
      </c>
      <c r="B894" s="7" t="s">
        <v>15</v>
      </c>
      <c r="C894" s="7" t="s">
        <v>54</v>
      </c>
      <c r="D894" s="7" t="s">
        <v>990</v>
      </c>
      <c r="E894" s="7"/>
      <c r="F894" s="8"/>
      <c r="G894" s="7" t="s">
        <v>990</v>
      </c>
      <c r="H894" s="9">
        <v>33.651524000000002</v>
      </c>
      <c r="I894" s="9">
        <v>10.30236</v>
      </c>
      <c r="J894" s="7" t="s">
        <v>56</v>
      </c>
      <c r="K894" s="7" t="s">
        <v>37</v>
      </c>
      <c r="L894" s="7"/>
      <c r="M894" s="10">
        <v>18.45</v>
      </c>
      <c r="N894" s="7" t="s">
        <v>48</v>
      </c>
      <c r="O894" s="7"/>
      <c r="P894" s="8" t="s">
        <v>39</v>
      </c>
      <c r="Q894">
        <v>4.0599999999999996</v>
      </c>
      <c r="R894">
        <v>42.8</v>
      </c>
      <c r="S894" t="s">
        <v>40</v>
      </c>
      <c r="T894">
        <v>16</v>
      </c>
      <c r="U894">
        <f t="shared" si="65"/>
        <v>64.959999999999994</v>
      </c>
      <c r="V894">
        <v>0.54</v>
      </c>
      <c r="W894">
        <v>0</v>
      </c>
      <c r="X894">
        <v>0</v>
      </c>
      <c r="Y894">
        <f t="shared" si="66"/>
        <v>0</v>
      </c>
      <c r="Z894">
        <f t="shared" si="67"/>
        <v>35.078400000000002</v>
      </c>
      <c r="AA894">
        <f t="shared" si="68"/>
        <v>35.078400000000002</v>
      </c>
      <c r="AB894">
        <f t="shared" si="69"/>
        <v>647.19648000000007</v>
      </c>
    </row>
    <row r="895" spans="1:28" ht="25.5" x14ac:dyDescent="0.25">
      <c r="A895" s="7">
        <v>894</v>
      </c>
      <c r="B895" s="7" t="s">
        <v>15</v>
      </c>
      <c r="C895" s="7" t="s">
        <v>59</v>
      </c>
      <c r="D895" s="7" t="s">
        <v>991</v>
      </c>
      <c r="E895" s="7"/>
      <c r="F895" s="8"/>
      <c r="G895" s="7" t="s">
        <v>991</v>
      </c>
      <c r="H895" s="9">
        <v>34.342737999999997</v>
      </c>
      <c r="I895" s="9">
        <v>8.3769189999999991</v>
      </c>
      <c r="J895" s="7" t="s">
        <v>61</v>
      </c>
      <c r="K895" s="7" t="s">
        <v>37</v>
      </c>
      <c r="L895" s="7"/>
      <c r="M895" s="10">
        <v>17.510000000000002</v>
      </c>
      <c r="N895" s="7" t="s">
        <v>52</v>
      </c>
      <c r="O895" s="7"/>
      <c r="P895" s="8" t="s">
        <v>39</v>
      </c>
      <c r="Q895">
        <v>2.08</v>
      </c>
      <c r="R895">
        <v>10.6</v>
      </c>
      <c r="S895" t="s">
        <v>91</v>
      </c>
      <c r="T895">
        <v>12</v>
      </c>
      <c r="U895">
        <f t="shared" si="65"/>
        <v>24.96</v>
      </c>
      <c r="V895">
        <v>1.49</v>
      </c>
      <c r="W895">
        <v>80</v>
      </c>
      <c r="X895">
        <v>0.35</v>
      </c>
      <c r="Y895">
        <f t="shared" si="66"/>
        <v>28</v>
      </c>
      <c r="Z895">
        <f t="shared" si="67"/>
        <v>37.190400000000004</v>
      </c>
      <c r="AA895">
        <f t="shared" si="68"/>
        <v>9.1904000000000039</v>
      </c>
      <c r="AB895">
        <f t="shared" si="69"/>
        <v>160.92390400000008</v>
      </c>
    </row>
    <row r="896" spans="1:28" ht="25.5" x14ac:dyDescent="0.25">
      <c r="A896" s="7">
        <v>895</v>
      </c>
      <c r="B896" s="7" t="s">
        <v>15</v>
      </c>
      <c r="C896" s="7" t="s">
        <v>63</v>
      </c>
      <c r="D896" s="7" t="s">
        <v>992</v>
      </c>
      <c r="E896" s="7"/>
      <c r="F896" s="8"/>
      <c r="G896" s="7" t="s">
        <v>992</v>
      </c>
      <c r="H896" s="9">
        <v>36.930112000000001</v>
      </c>
      <c r="I896" s="9">
        <v>8.7296630000000004</v>
      </c>
      <c r="J896" s="7" t="s">
        <v>65</v>
      </c>
      <c r="K896" s="7" t="s">
        <v>37</v>
      </c>
      <c r="L896" s="7"/>
      <c r="M896" s="10">
        <v>22.62</v>
      </c>
      <c r="N896" s="7" t="s">
        <v>57</v>
      </c>
      <c r="O896" s="7"/>
      <c r="P896" s="8" t="s">
        <v>39</v>
      </c>
      <c r="Q896">
        <v>2.2200000000000002</v>
      </c>
      <c r="R896">
        <v>20.100000000000001</v>
      </c>
      <c r="S896" t="s">
        <v>53</v>
      </c>
      <c r="T896">
        <v>8</v>
      </c>
      <c r="U896">
        <f t="shared" si="65"/>
        <v>17.760000000000002</v>
      </c>
      <c r="V896">
        <v>1.38</v>
      </c>
      <c r="W896">
        <v>50</v>
      </c>
      <c r="X896">
        <v>0.35</v>
      </c>
      <c r="Y896">
        <f t="shared" si="66"/>
        <v>17.5</v>
      </c>
      <c r="Z896">
        <f t="shared" si="67"/>
        <v>24.508800000000001</v>
      </c>
      <c r="AA896">
        <f t="shared" si="68"/>
        <v>7.0088000000000008</v>
      </c>
      <c r="AB896">
        <f t="shared" si="69"/>
        <v>158.53905600000002</v>
      </c>
    </row>
    <row r="897" spans="1:28" ht="25.5" x14ac:dyDescent="0.25">
      <c r="A897" s="7">
        <v>896</v>
      </c>
      <c r="B897" s="7" t="s">
        <v>15</v>
      </c>
      <c r="C897" s="7" t="s">
        <v>67</v>
      </c>
      <c r="D897" s="7" t="s">
        <v>993</v>
      </c>
      <c r="E897" s="7"/>
      <c r="F897" s="8"/>
      <c r="G897" s="7" t="s">
        <v>993</v>
      </c>
      <c r="H897" s="9">
        <v>35.605964</v>
      </c>
      <c r="I897" s="9">
        <v>9.9214289999999998</v>
      </c>
      <c r="J897" s="7" t="s">
        <v>69</v>
      </c>
      <c r="K897" s="7" t="s">
        <v>37</v>
      </c>
      <c r="L897" s="7"/>
      <c r="M897" s="10">
        <v>2.36</v>
      </c>
      <c r="N897" s="7" t="s">
        <v>62</v>
      </c>
      <c r="O897" s="7"/>
      <c r="P897" s="8" t="s">
        <v>39</v>
      </c>
      <c r="Q897">
        <v>6.98</v>
      </c>
      <c r="R897">
        <v>44.6</v>
      </c>
      <c r="S897" t="s">
        <v>40</v>
      </c>
      <c r="T897">
        <v>7</v>
      </c>
      <c r="U897">
        <f t="shared" si="65"/>
        <v>48.86</v>
      </c>
      <c r="V897">
        <v>0.66</v>
      </c>
      <c r="W897">
        <v>0</v>
      </c>
      <c r="X897">
        <v>0</v>
      </c>
      <c r="Y897">
        <f t="shared" si="66"/>
        <v>0</v>
      </c>
      <c r="Z897">
        <f t="shared" si="67"/>
        <v>32.247599999999998</v>
      </c>
      <c r="AA897">
        <f t="shared" si="68"/>
        <v>32.247599999999998</v>
      </c>
      <c r="AB897">
        <f t="shared" si="69"/>
        <v>76.104335999999989</v>
      </c>
    </row>
    <row r="898" spans="1:28" ht="25.5" x14ac:dyDescent="0.25">
      <c r="A898" s="7">
        <v>897</v>
      </c>
      <c r="B898" s="7" t="s">
        <v>15</v>
      </c>
      <c r="C898" s="7" t="s">
        <v>71</v>
      </c>
      <c r="D898" s="7" t="s">
        <v>994</v>
      </c>
      <c r="E898" s="7"/>
      <c r="F898" s="8"/>
      <c r="G898" s="7" t="s">
        <v>994</v>
      </c>
      <c r="H898" s="9">
        <v>35.250363</v>
      </c>
      <c r="I898" s="9">
        <v>9.1126159999999992</v>
      </c>
      <c r="J898" s="7" t="s">
        <v>73</v>
      </c>
      <c r="K898" s="7" t="s">
        <v>37</v>
      </c>
      <c r="L898" s="7"/>
      <c r="M898" s="10">
        <v>17.149999999999999</v>
      </c>
      <c r="N898" s="7" t="s">
        <v>66</v>
      </c>
      <c r="O898" s="7"/>
      <c r="P898" s="8" t="s">
        <v>39</v>
      </c>
      <c r="Q898">
        <v>6.67</v>
      </c>
      <c r="R898">
        <v>28.3</v>
      </c>
      <c r="S898" t="s">
        <v>58</v>
      </c>
      <c r="T898">
        <v>10</v>
      </c>
      <c r="U898">
        <f t="shared" ref="U898:U961" si="70">Q898*T898</f>
        <v>66.7</v>
      </c>
      <c r="V898">
        <v>0.72</v>
      </c>
      <c r="W898">
        <v>80</v>
      </c>
      <c r="X898">
        <v>0.35</v>
      </c>
      <c r="Y898">
        <f t="shared" ref="Y898:Y961" si="71">W898*X898</f>
        <v>28</v>
      </c>
      <c r="Z898">
        <f t="shared" ref="Z898:Z961" si="72">U898*V898</f>
        <v>48.024000000000001</v>
      </c>
      <c r="AA898">
        <f t="shared" ref="AA898:AA961" si="73">MAX(0,Z898-Y898)</f>
        <v>20.024000000000001</v>
      </c>
      <c r="AB898">
        <f t="shared" si="69"/>
        <v>343.41159999999996</v>
      </c>
    </row>
    <row r="899" spans="1:28" ht="25.5" x14ac:dyDescent="0.25">
      <c r="A899" s="7">
        <v>898</v>
      </c>
      <c r="B899" s="7" t="s">
        <v>15</v>
      </c>
      <c r="C899" s="7" t="s">
        <v>75</v>
      </c>
      <c r="D899" s="7" t="s">
        <v>995</v>
      </c>
      <c r="E899" s="7"/>
      <c r="F899" s="8"/>
      <c r="G899" s="7" t="s">
        <v>995</v>
      </c>
      <c r="H899" s="9">
        <v>33.479089999999999</v>
      </c>
      <c r="I899" s="9">
        <v>9.0274560000000008</v>
      </c>
      <c r="J899" s="7" t="s">
        <v>77</v>
      </c>
      <c r="K899" s="7" t="s">
        <v>37</v>
      </c>
      <c r="L899" s="7"/>
      <c r="M899" s="10">
        <v>6.36</v>
      </c>
      <c r="N899" s="7" t="s">
        <v>70</v>
      </c>
      <c r="O899" s="7"/>
      <c r="P899" s="8" t="s">
        <v>39</v>
      </c>
      <c r="Q899">
        <v>5.13</v>
      </c>
      <c r="R899">
        <v>28.1</v>
      </c>
      <c r="S899" t="s">
        <v>58</v>
      </c>
      <c r="T899">
        <v>9</v>
      </c>
      <c r="U899">
        <f t="shared" si="70"/>
        <v>46.17</v>
      </c>
      <c r="V899">
        <v>0.81</v>
      </c>
      <c r="W899">
        <v>80</v>
      </c>
      <c r="X899">
        <v>0.35</v>
      </c>
      <c r="Y899">
        <f t="shared" si="71"/>
        <v>28</v>
      </c>
      <c r="Z899">
        <f t="shared" si="72"/>
        <v>37.3977</v>
      </c>
      <c r="AA899">
        <f t="shared" si="73"/>
        <v>9.3977000000000004</v>
      </c>
      <c r="AB899">
        <f t="shared" ref="AB899:AB962" si="74">AA899*M899</f>
        <v>59.769372000000004</v>
      </c>
    </row>
    <row r="900" spans="1:28" ht="25.5" x14ac:dyDescent="0.25">
      <c r="A900" s="7">
        <v>899</v>
      </c>
      <c r="B900" s="7" t="s">
        <v>15</v>
      </c>
      <c r="C900" s="7" t="s">
        <v>79</v>
      </c>
      <c r="D900" s="7" t="s">
        <v>996</v>
      </c>
      <c r="E900" s="7"/>
      <c r="F900" s="8"/>
      <c r="G900" s="7" t="s">
        <v>996</v>
      </c>
      <c r="H900" s="9">
        <v>35.918061000000002</v>
      </c>
      <c r="I900" s="9">
        <v>8.8491569999999999</v>
      </c>
      <c r="J900" s="7" t="s">
        <v>81</v>
      </c>
      <c r="K900" s="7" t="s">
        <v>37</v>
      </c>
      <c r="L900" s="7"/>
      <c r="M900" s="10">
        <v>14.84</v>
      </c>
      <c r="N900" s="7" t="s">
        <v>74</v>
      </c>
      <c r="O900" s="7"/>
      <c r="P900" s="8" t="s">
        <v>39</v>
      </c>
      <c r="Q900">
        <v>3.31</v>
      </c>
      <c r="R900">
        <v>25.3</v>
      </c>
      <c r="S900" t="s">
        <v>58</v>
      </c>
      <c r="T900">
        <v>10</v>
      </c>
      <c r="U900">
        <f t="shared" si="70"/>
        <v>33.1</v>
      </c>
      <c r="V900">
        <v>0.81</v>
      </c>
      <c r="W900">
        <v>120</v>
      </c>
      <c r="X900">
        <v>0.35</v>
      </c>
      <c r="Y900">
        <f t="shared" si="71"/>
        <v>42</v>
      </c>
      <c r="Z900">
        <f t="shared" si="72"/>
        <v>26.811000000000003</v>
      </c>
      <c r="AA900">
        <f t="shared" si="73"/>
        <v>0</v>
      </c>
      <c r="AB900">
        <f t="shared" si="74"/>
        <v>0</v>
      </c>
    </row>
    <row r="901" spans="1:28" ht="25.5" x14ac:dyDescent="0.25">
      <c r="A901" s="7">
        <v>900</v>
      </c>
      <c r="B901" s="7" t="s">
        <v>15</v>
      </c>
      <c r="C901" s="7" t="s">
        <v>82</v>
      </c>
      <c r="D901" s="7" t="s">
        <v>997</v>
      </c>
      <c r="E901" s="7"/>
      <c r="F901" s="8"/>
      <c r="G901" s="7" t="s">
        <v>997</v>
      </c>
      <c r="H901" s="9">
        <v>35.248367999999999</v>
      </c>
      <c r="I901" s="9">
        <v>11.105199000000001</v>
      </c>
      <c r="J901" s="7" t="s">
        <v>84</v>
      </c>
      <c r="K901" s="7" t="s">
        <v>37</v>
      </c>
      <c r="L901" s="7"/>
      <c r="M901" s="10">
        <v>8.5</v>
      </c>
      <c r="N901" s="7" t="s">
        <v>78</v>
      </c>
      <c r="O901" s="7"/>
      <c r="P901" s="8" t="s">
        <v>39</v>
      </c>
      <c r="Q901">
        <v>3.59</v>
      </c>
      <c r="R901">
        <v>22.4</v>
      </c>
      <c r="S901" t="s">
        <v>53</v>
      </c>
      <c r="T901">
        <v>14</v>
      </c>
      <c r="U901">
        <f t="shared" si="70"/>
        <v>50.26</v>
      </c>
      <c r="V901">
        <v>1.1499999999999999</v>
      </c>
      <c r="W901">
        <v>0</v>
      </c>
      <c r="X901">
        <v>0</v>
      </c>
      <c r="Y901">
        <f t="shared" si="71"/>
        <v>0</v>
      </c>
      <c r="Z901">
        <f t="shared" si="72"/>
        <v>57.798999999999992</v>
      </c>
      <c r="AA901">
        <f t="shared" si="73"/>
        <v>57.798999999999992</v>
      </c>
      <c r="AB901">
        <f t="shared" si="74"/>
        <v>491.29149999999993</v>
      </c>
    </row>
    <row r="902" spans="1:28" ht="25.5" x14ac:dyDescent="0.25">
      <c r="A902" s="7">
        <v>901</v>
      </c>
      <c r="B902" s="7" t="s">
        <v>15</v>
      </c>
      <c r="C902" s="7" t="s">
        <v>85</v>
      </c>
      <c r="D902" s="7" t="s">
        <v>998</v>
      </c>
      <c r="E902" s="7"/>
      <c r="F902" s="8"/>
      <c r="G902" s="7" t="s">
        <v>998</v>
      </c>
      <c r="H902" s="9">
        <v>36.830334000000001</v>
      </c>
      <c r="I902" s="9">
        <v>9.8410650000000004</v>
      </c>
      <c r="J902" s="7" t="s">
        <v>87</v>
      </c>
      <c r="K902" s="7" t="s">
        <v>37</v>
      </c>
      <c r="L902" s="7"/>
      <c r="M902" s="10">
        <v>1.95</v>
      </c>
      <c r="N902" s="7" t="s">
        <v>38</v>
      </c>
      <c r="O902" s="7"/>
      <c r="P902" s="8" t="s">
        <v>39</v>
      </c>
      <c r="Q902">
        <v>4.21</v>
      </c>
      <c r="R902">
        <v>26.1</v>
      </c>
      <c r="S902" t="s">
        <v>58</v>
      </c>
      <c r="T902">
        <v>18</v>
      </c>
      <c r="U902">
        <f t="shared" si="70"/>
        <v>75.78</v>
      </c>
      <c r="V902">
        <v>0.9</v>
      </c>
      <c r="W902">
        <v>160</v>
      </c>
      <c r="X902">
        <v>0.35</v>
      </c>
      <c r="Y902">
        <f t="shared" si="71"/>
        <v>56</v>
      </c>
      <c r="Z902">
        <f t="shared" si="72"/>
        <v>68.201999999999998</v>
      </c>
      <c r="AA902">
        <f t="shared" si="73"/>
        <v>12.201999999999998</v>
      </c>
      <c r="AB902">
        <f t="shared" si="74"/>
        <v>23.793899999999997</v>
      </c>
    </row>
    <row r="903" spans="1:28" ht="25.5" x14ac:dyDescent="0.25">
      <c r="A903" s="7">
        <v>902</v>
      </c>
      <c r="B903" s="7" t="s">
        <v>15</v>
      </c>
      <c r="C903" s="7" t="s">
        <v>88</v>
      </c>
      <c r="D903" s="7" t="s">
        <v>999</v>
      </c>
      <c r="E903" s="7"/>
      <c r="F903" s="8"/>
      <c r="G903" s="7" t="s">
        <v>999</v>
      </c>
      <c r="H903" s="9">
        <v>33.824210999999998</v>
      </c>
      <c r="I903" s="9">
        <v>10.986724000000001</v>
      </c>
      <c r="J903" s="7" t="s">
        <v>90</v>
      </c>
      <c r="K903" s="7" t="s">
        <v>37</v>
      </c>
      <c r="L903" s="7"/>
      <c r="M903" s="10">
        <v>23.71</v>
      </c>
      <c r="N903" s="7" t="s">
        <v>44</v>
      </c>
      <c r="O903" s="7"/>
      <c r="P903" s="8" t="s">
        <v>39</v>
      </c>
      <c r="Q903">
        <v>6.14</v>
      </c>
      <c r="R903">
        <v>23.7</v>
      </c>
      <c r="S903" t="s">
        <v>53</v>
      </c>
      <c r="T903">
        <v>18</v>
      </c>
      <c r="U903">
        <f t="shared" si="70"/>
        <v>110.52</v>
      </c>
      <c r="V903">
        <v>1.1499999999999999</v>
      </c>
      <c r="W903">
        <v>0</v>
      </c>
      <c r="X903">
        <v>0</v>
      </c>
      <c r="Y903">
        <f t="shared" si="71"/>
        <v>0</v>
      </c>
      <c r="Z903">
        <f t="shared" si="72"/>
        <v>127.09799999999998</v>
      </c>
      <c r="AA903">
        <f t="shared" si="73"/>
        <v>127.09799999999998</v>
      </c>
      <c r="AB903">
        <f t="shared" si="74"/>
        <v>3013.4935799999998</v>
      </c>
    </row>
    <row r="904" spans="1:28" ht="25.5" x14ac:dyDescent="0.25">
      <c r="A904" s="7">
        <v>903</v>
      </c>
      <c r="B904" s="7" t="s">
        <v>15</v>
      </c>
      <c r="C904" s="7" t="s">
        <v>92</v>
      </c>
      <c r="D904" s="7" t="s">
        <v>1000</v>
      </c>
      <c r="E904" s="7"/>
      <c r="F904" s="8"/>
      <c r="G904" s="7" t="s">
        <v>1000</v>
      </c>
      <c r="H904" s="9">
        <v>35.618074</v>
      </c>
      <c r="I904" s="9">
        <v>10.726077999999999</v>
      </c>
      <c r="J904" s="7" t="s">
        <v>94</v>
      </c>
      <c r="K904" s="7" t="s">
        <v>37</v>
      </c>
      <c r="L904" s="7"/>
      <c r="M904" s="10">
        <v>3.2</v>
      </c>
      <c r="N904" s="7" t="s">
        <v>48</v>
      </c>
      <c r="O904" s="7"/>
      <c r="P904" s="8" t="s">
        <v>39</v>
      </c>
      <c r="Q904">
        <v>4.99</v>
      </c>
      <c r="R904">
        <v>43.2</v>
      </c>
      <c r="S904" t="s">
        <v>40</v>
      </c>
      <c r="T904">
        <v>16</v>
      </c>
      <c r="U904">
        <f t="shared" si="70"/>
        <v>79.84</v>
      </c>
      <c r="V904">
        <v>0.54</v>
      </c>
      <c r="W904">
        <v>120</v>
      </c>
      <c r="X904">
        <v>0.35</v>
      </c>
      <c r="Y904">
        <f t="shared" si="71"/>
        <v>42</v>
      </c>
      <c r="Z904">
        <f t="shared" si="72"/>
        <v>43.113600000000005</v>
      </c>
      <c r="AA904">
        <f t="shared" si="73"/>
        <v>1.1136000000000053</v>
      </c>
      <c r="AB904">
        <f t="shared" si="74"/>
        <v>3.5635200000000169</v>
      </c>
    </row>
    <row r="905" spans="1:28" ht="25.5" x14ac:dyDescent="0.25">
      <c r="A905" s="7">
        <v>904</v>
      </c>
      <c r="B905" s="7" t="s">
        <v>15</v>
      </c>
      <c r="C905" s="7" t="s">
        <v>95</v>
      </c>
      <c r="D905" s="7" t="s">
        <v>1001</v>
      </c>
      <c r="E905" s="7"/>
      <c r="F905" s="8"/>
      <c r="G905" s="7" t="s">
        <v>1001</v>
      </c>
      <c r="H905" s="9">
        <v>36.570633999999998</v>
      </c>
      <c r="I905" s="9">
        <v>10.856335</v>
      </c>
      <c r="J905" s="7" t="s">
        <v>97</v>
      </c>
      <c r="K905" s="7" t="s">
        <v>37</v>
      </c>
      <c r="L905" s="7"/>
      <c r="M905" s="10">
        <v>10.02</v>
      </c>
      <c r="N905" s="7" t="s">
        <v>52</v>
      </c>
      <c r="O905" s="7"/>
      <c r="P905" s="8" t="s">
        <v>39</v>
      </c>
      <c r="Q905">
        <v>6.25</v>
      </c>
      <c r="R905">
        <v>39.299999999999997</v>
      </c>
      <c r="S905" t="s">
        <v>40</v>
      </c>
      <c r="T905">
        <v>12</v>
      </c>
      <c r="U905">
        <f t="shared" si="70"/>
        <v>75</v>
      </c>
      <c r="V905">
        <v>0.66</v>
      </c>
      <c r="W905">
        <v>50</v>
      </c>
      <c r="X905">
        <v>0.35</v>
      </c>
      <c r="Y905">
        <f t="shared" si="71"/>
        <v>17.5</v>
      </c>
      <c r="Z905">
        <f t="shared" si="72"/>
        <v>49.5</v>
      </c>
      <c r="AA905">
        <f t="shared" si="73"/>
        <v>32</v>
      </c>
      <c r="AB905">
        <f t="shared" si="74"/>
        <v>320.64</v>
      </c>
    </row>
    <row r="906" spans="1:28" ht="25.5" x14ac:dyDescent="0.25">
      <c r="A906" s="7">
        <v>905</v>
      </c>
      <c r="B906" s="7" t="s">
        <v>15</v>
      </c>
      <c r="C906" s="7" t="s">
        <v>98</v>
      </c>
      <c r="D906" s="7" t="s">
        <v>1002</v>
      </c>
      <c r="E906" s="7"/>
      <c r="F906" s="8"/>
      <c r="G906" s="7" t="s">
        <v>1002</v>
      </c>
      <c r="H906" s="9">
        <v>34.758535999999999</v>
      </c>
      <c r="I906" s="9">
        <v>10.52216</v>
      </c>
      <c r="J906" s="7" t="s">
        <v>100</v>
      </c>
      <c r="K906" s="7" t="s">
        <v>37</v>
      </c>
      <c r="L906" s="7"/>
      <c r="M906" s="10">
        <v>15.67</v>
      </c>
      <c r="N906" s="7" t="s">
        <v>57</v>
      </c>
      <c r="O906" s="7"/>
      <c r="P906" s="8" t="s">
        <v>39</v>
      </c>
      <c r="Q906">
        <v>2.8</v>
      </c>
      <c r="R906">
        <v>13.2</v>
      </c>
      <c r="S906" t="s">
        <v>91</v>
      </c>
      <c r="T906">
        <v>8</v>
      </c>
      <c r="U906">
        <f t="shared" si="70"/>
        <v>22.4</v>
      </c>
      <c r="V906">
        <v>1.6</v>
      </c>
      <c r="W906">
        <v>120</v>
      </c>
      <c r="X906">
        <v>0.35</v>
      </c>
      <c r="Y906">
        <f t="shared" si="71"/>
        <v>42</v>
      </c>
      <c r="Z906">
        <f t="shared" si="72"/>
        <v>35.839999999999996</v>
      </c>
      <c r="AA906">
        <f t="shared" si="73"/>
        <v>0</v>
      </c>
      <c r="AB906">
        <f t="shared" si="74"/>
        <v>0</v>
      </c>
    </row>
    <row r="907" spans="1:28" ht="25.5" x14ac:dyDescent="0.25">
      <c r="A907" s="7">
        <v>906</v>
      </c>
      <c r="B907" s="7" t="s">
        <v>15</v>
      </c>
      <c r="C907" s="7" t="s">
        <v>101</v>
      </c>
      <c r="D907" s="7" t="s">
        <v>1003</v>
      </c>
      <c r="E907" s="7"/>
      <c r="F907" s="8"/>
      <c r="G907" s="7" t="s">
        <v>1003</v>
      </c>
      <c r="H907" s="9">
        <v>34.912049000000003</v>
      </c>
      <c r="I907" s="9">
        <v>9.7943200000000008</v>
      </c>
      <c r="J907" s="7" t="s">
        <v>103</v>
      </c>
      <c r="K907" s="7" t="s">
        <v>37</v>
      </c>
      <c r="L907" s="7"/>
      <c r="M907" s="10">
        <v>6.75</v>
      </c>
      <c r="N907" s="7" t="s">
        <v>62</v>
      </c>
      <c r="O907" s="7"/>
      <c r="P907" s="8" t="s">
        <v>39</v>
      </c>
      <c r="Q907">
        <v>7.11</v>
      </c>
      <c r="R907">
        <v>38.1</v>
      </c>
      <c r="S907" t="s">
        <v>40</v>
      </c>
      <c r="T907">
        <v>7</v>
      </c>
      <c r="U907">
        <f t="shared" si="70"/>
        <v>49.77</v>
      </c>
      <c r="V907">
        <v>0.66</v>
      </c>
      <c r="W907">
        <v>0</v>
      </c>
      <c r="X907">
        <v>0</v>
      </c>
      <c r="Y907">
        <f t="shared" si="71"/>
        <v>0</v>
      </c>
      <c r="Z907">
        <f t="shared" si="72"/>
        <v>32.848200000000006</v>
      </c>
      <c r="AA907">
        <f t="shared" si="73"/>
        <v>32.848200000000006</v>
      </c>
      <c r="AB907">
        <f t="shared" si="74"/>
        <v>221.72535000000005</v>
      </c>
    </row>
    <row r="908" spans="1:28" ht="25.5" x14ac:dyDescent="0.25">
      <c r="A908" s="7">
        <v>907</v>
      </c>
      <c r="B908" s="7" t="s">
        <v>15</v>
      </c>
      <c r="C908" s="7" t="s">
        <v>104</v>
      </c>
      <c r="D908" s="7" t="s">
        <v>1004</v>
      </c>
      <c r="E908" s="7"/>
      <c r="F908" s="8"/>
      <c r="G908" s="7" t="s">
        <v>1004</v>
      </c>
      <c r="H908" s="9">
        <v>35.836278</v>
      </c>
      <c r="I908" s="9">
        <v>9.2239299999999993</v>
      </c>
      <c r="J908" s="7" t="s">
        <v>106</v>
      </c>
      <c r="K908" s="7" t="s">
        <v>37</v>
      </c>
      <c r="L908" s="7"/>
      <c r="M908" s="10">
        <v>11.95</v>
      </c>
      <c r="N908" s="7" t="s">
        <v>66</v>
      </c>
      <c r="O908" s="7"/>
      <c r="P908" s="8" t="s">
        <v>39</v>
      </c>
      <c r="Q908">
        <v>7.56</v>
      </c>
      <c r="R908">
        <v>42</v>
      </c>
      <c r="S908" t="s">
        <v>40</v>
      </c>
      <c r="T908">
        <v>10</v>
      </c>
      <c r="U908">
        <f t="shared" si="70"/>
        <v>75.599999999999994</v>
      </c>
      <c r="V908">
        <v>0.48</v>
      </c>
      <c r="W908">
        <v>50</v>
      </c>
      <c r="X908">
        <v>0.35</v>
      </c>
      <c r="Y908">
        <f t="shared" si="71"/>
        <v>17.5</v>
      </c>
      <c r="Z908">
        <f t="shared" si="72"/>
        <v>36.287999999999997</v>
      </c>
      <c r="AA908">
        <f t="shared" si="73"/>
        <v>18.787999999999997</v>
      </c>
      <c r="AB908">
        <f t="shared" si="74"/>
        <v>224.51659999999995</v>
      </c>
    </row>
    <row r="909" spans="1:28" ht="25.5" x14ac:dyDescent="0.25">
      <c r="A909" s="7">
        <v>908</v>
      </c>
      <c r="B909" s="7" t="s">
        <v>15</v>
      </c>
      <c r="C909" s="7" t="s">
        <v>107</v>
      </c>
      <c r="D909" s="7" t="s">
        <v>1005</v>
      </c>
      <c r="E909" s="7"/>
      <c r="F909" s="8"/>
      <c r="G909" s="7" t="s">
        <v>1005</v>
      </c>
      <c r="H909" s="9">
        <v>36.120804</v>
      </c>
      <c r="I909" s="9">
        <v>10.363222</v>
      </c>
      <c r="J909" s="7" t="s">
        <v>109</v>
      </c>
      <c r="K909" s="7" t="s">
        <v>37</v>
      </c>
      <c r="L909" s="7"/>
      <c r="M909" s="10">
        <v>3.27</v>
      </c>
      <c r="N909" s="7" t="s">
        <v>70</v>
      </c>
      <c r="O909" s="7"/>
      <c r="P909" s="8" t="s">
        <v>39</v>
      </c>
      <c r="Q909">
        <v>4.7699999999999996</v>
      </c>
      <c r="R909">
        <v>38.1</v>
      </c>
      <c r="S909" t="s">
        <v>40</v>
      </c>
      <c r="T909">
        <v>9</v>
      </c>
      <c r="U909">
        <f t="shared" si="70"/>
        <v>42.929999999999993</v>
      </c>
      <c r="V909">
        <v>0.54</v>
      </c>
      <c r="W909">
        <v>0</v>
      </c>
      <c r="X909">
        <v>0</v>
      </c>
      <c r="Y909">
        <f t="shared" si="71"/>
        <v>0</v>
      </c>
      <c r="Z909">
        <f t="shared" si="72"/>
        <v>23.182199999999998</v>
      </c>
      <c r="AA909">
        <f t="shared" si="73"/>
        <v>23.182199999999998</v>
      </c>
      <c r="AB909">
        <f t="shared" si="74"/>
        <v>75.805793999999992</v>
      </c>
    </row>
    <row r="910" spans="1:28" ht="25.5" x14ac:dyDescent="0.25">
      <c r="A910" s="7">
        <v>909</v>
      </c>
      <c r="B910" s="7" t="s">
        <v>15</v>
      </c>
      <c r="C910" s="7" t="s">
        <v>110</v>
      </c>
      <c r="D910" s="7" t="s">
        <v>1006</v>
      </c>
      <c r="E910" s="7"/>
      <c r="F910" s="8"/>
      <c r="G910" s="7" t="s">
        <v>1006</v>
      </c>
      <c r="H910" s="9">
        <v>33.183162000000003</v>
      </c>
      <c r="I910" s="9">
        <v>10.222243000000001</v>
      </c>
      <c r="J910" s="7" t="s">
        <v>112</v>
      </c>
      <c r="K910" s="7" t="s">
        <v>37</v>
      </c>
      <c r="L910" s="7"/>
      <c r="M910" s="10">
        <v>8.35</v>
      </c>
      <c r="N910" s="7" t="s">
        <v>74</v>
      </c>
      <c r="O910" s="7"/>
      <c r="P910" s="8" t="s">
        <v>39</v>
      </c>
      <c r="Q910">
        <v>4.1900000000000004</v>
      </c>
      <c r="R910">
        <v>10.9</v>
      </c>
      <c r="S910" t="s">
        <v>91</v>
      </c>
      <c r="T910">
        <v>10</v>
      </c>
      <c r="U910">
        <f t="shared" si="70"/>
        <v>41.900000000000006</v>
      </c>
      <c r="V910">
        <v>1.22</v>
      </c>
      <c r="W910">
        <v>50</v>
      </c>
      <c r="X910">
        <v>0.35</v>
      </c>
      <c r="Y910">
        <f t="shared" si="71"/>
        <v>17.5</v>
      </c>
      <c r="Z910">
        <f t="shared" si="72"/>
        <v>51.118000000000009</v>
      </c>
      <c r="AA910">
        <f t="shared" si="73"/>
        <v>33.618000000000009</v>
      </c>
      <c r="AB910">
        <f t="shared" si="74"/>
        <v>280.71030000000007</v>
      </c>
    </row>
    <row r="911" spans="1:28" ht="25.5" x14ac:dyDescent="0.25">
      <c r="A911" s="7">
        <v>910</v>
      </c>
      <c r="B911" s="7" t="s">
        <v>15</v>
      </c>
      <c r="C911" s="7" t="s">
        <v>113</v>
      </c>
      <c r="D911" s="7" t="s">
        <v>1007</v>
      </c>
      <c r="E911" s="7"/>
      <c r="F911" s="8"/>
      <c r="G911" s="7" t="s">
        <v>1007</v>
      </c>
      <c r="H911" s="9">
        <v>33.889738000000001</v>
      </c>
      <c r="I911" s="9">
        <v>7.895187</v>
      </c>
      <c r="J911" s="7" t="s">
        <v>115</v>
      </c>
      <c r="K911" s="7" t="s">
        <v>37</v>
      </c>
      <c r="L911" s="7"/>
      <c r="M911" s="10">
        <v>24.85</v>
      </c>
      <c r="N911" s="7" t="s">
        <v>78</v>
      </c>
      <c r="O911" s="7"/>
      <c r="P911" s="8" t="s">
        <v>39</v>
      </c>
      <c r="Q911">
        <v>5.77</v>
      </c>
      <c r="R911">
        <v>38.4</v>
      </c>
      <c r="S911" t="s">
        <v>40</v>
      </c>
      <c r="T911">
        <v>14</v>
      </c>
      <c r="U911">
        <f t="shared" si="70"/>
        <v>80.78</v>
      </c>
      <c r="V911">
        <v>0.6</v>
      </c>
      <c r="W911">
        <v>50</v>
      </c>
      <c r="X911">
        <v>0.35</v>
      </c>
      <c r="Y911">
        <f t="shared" si="71"/>
        <v>17.5</v>
      </c>
      <c r="Z911">
        <f t="shared" si="72"/>
        <v>48.467999999999996</v>
      </c>
      <c r="AA911">
        <f t="shared" si="73"/>
        <v>30.967999999999996</v>
      </c>
      <c r="AB911">
        <f t="shared" si="74"/>
        <v>769.5548</v>
      </c>
    </row>
    <row r="912" spans="1:28" ht="25.5" x14ac:dyDescent="0.25">
      <c r="A912" s="7">
        <v>911</v>
      </c>
      <c r="B912" s="7" t="s">
        <v>15</v>
      </c>
      <c r="C912" s="7" t="s">
        <v>116</v>
      </c>
      <c r="D912" s="7" t="s">
        <v>1008</v>
      </c>
      <c r="E912" s="7"/>
      <c r="F912" s="8"/>
      <c r="G912" s="7" t="s">
        <v>1008</v>
      </c>
      <c r="H912" s="9">
        <v>36.861668999999999</v>
      </c>
      <c r="I912" s="9">
        <v>10.341348</v>
      </c>
      <c r="J912" s="7" t="s">
        <v>118</v>
      </c>
      <c r="K912" s="7" t="s">
        <v>37</v>
      </c>
      <c r="L912" s="7"/>
      <c r="M912" s="10">
        <v>1.45</v>
      </c>
      <c r="N912" s="7" t="s">
        <v>38</v>
      </c>
      <c r="O912" s="7"/>
      <c r="P912" s="8" t="s">
        <v>39</v>
      </c>
      <c r="Q912">
        <v>2.86</v>
      </c>
      <c r="R912">
        <v>36.799999999999997</v>
      </c>
      <c r="S912" t="s">
        <v>40</v>
      </c>
      <c r="T912">
        <v>18</v>
      </c>
      <c r="U912">
        <f t="shared" si="70"/>
        <v>51.48</v>
      </c>
      <c r="V912">
        <v>0.6</v>
      </c>
      <c r="W912">
        <v>50</v>
      </c>
      <c r="X912">
        <v>0.35</v>
      </c>
      <c r="Y912">
        <f t="shared" si="71"/>
        <v>17.5</v>
      </c>
      <c r="Z912">
        <f t="shared" si="72"/>
        <v>30.887999999999998</v>
      </c>
      <c r="AA912">
        <f t="shared" si="73"/>
        <v>13.387999999999998</v>
      </c>
      <c r="AB912">
        <f t="shared" si="74"/>
        <v>19.412599999999998</v>
      </c>
    </row>
    <row r="913" spans="1:28" ht="25.5" x14ac:dyDescent="0.25">
      <c r="A913" s="7">
        <v>912</v>
      </c>
      <c r="B913" s="7" t="s">
        <v>15</v>
      </c>
      <c r="C913" s="7" t="s">
        <v>119</v>
      </c>
      <c r="D913" s="7" t="s">
        <v>1009</v>
      </c>
      <c r="E913" s="7"/>
      <c r="F913" s="8"/>
      <c r="G913" s="7" t="s">
        <v>1009</v>
      </c>
      <c r="H913" s="9">
        <v>36.37894</v>
      </c>
      <c r="I913" s="9">
        <v>9.6119140000000005</v>
      </c>
      <c r="J913" s="7" t="s">
        <v>121</v>
      </c>
      <c r="K913" s="7" t="s">
        <v>37</v>
      </c>
      <c r="L913" s="7"/>
      <c r="M913" s="10">
        <v>14.53</v>
      </c>
      <c r="N913" s="7" t="s">
        <v>44</v>
      </c>
      <c r="O913" s="7"/>
      <c r="P913" s="8" t="s">
        <v>39</v>
      </c>
      <c r="Q913">
        <v>6.03</v>
      </c>
      <c r="R913">
        <v>33.700000000000003</v>
      </c>
      <c r="S913" t="s">
        <v>58</v>
      </c>
      <c r="T913">
        <v>18</v>
      </c>
      <c r="U913">
        <f t="shared" si="70"/>
        <v>108.54</v>
      </c>
      <c r="V913">
        <v>0.9</v>
      </c>
      <c r="W913">
        <v>50</v>
      </c>
      <c r="X913">
        <v>0.35</v>
      </c>
      <c r="Y913">
        <f t="shared" si="71"/>
        <v>17.5</v>
      </c>
      <c r="Z913">
        <f t="shared" si="72"/>
        <v>97.686000000000007</v>
      </c>
      <c r="AA913">
        <f t="shared" si="73"/>
        <v>80.186000000000007</v>
      </c>
      <c r="AB913">
        <f t="shared" si="74"/>
        <v>1165.10258</v>
      </c>
    </row>
    <row r="914" spans="1:28" ht="25.5" x14ac:dyDescent="0.25">
      <c r="A914" s="7">
        <v>913</v>
      </c>
      <c r="B914" s="7" t="s">
        <v>15</v>
      </c>
      <c r="C914" s="7" t="s">
        <v>34</v>
      </c>
      <c r="D914" s="7" t="s">
        <v>1010</v>
      </c>
      <c r="E914" s="7"/>
      <c r="F914" s="8"/>
      <c r="G914" s="7" t="s">
        <v>1010</v>
      </c>
      <c r="H914" s="9">
        <v>36.905619000000002</v>
      </c>
      <c r="I914" s="9">
        <v>10.231393000000001</v>
      </c>
      <c r="J914" s="7" t="s">
        <v>36</v>
      </c>
      <c r="K914" s="7" t="s">
        <v>37</v>
      </c>
      <c r="L914" s="7"/>
      <c r="M914" s="10">
        <v>1.92</v>
      </c>
      <c r="N914" s="7" t="s">
        <v>48</v>
      </c>
      <c r="O914" s="7"/>
      <c r="P914" s="8" t="s">
        <v>39</v>
      </c>
      <c r="Q914">
        <v>7.96</v>
      </c>
      <c r="R914">
        <v>25</v>
      </c>
      <c r="S914" t="s">
        <v>58</v>
      </c>
      <c r="T914">
        <v>16</v>
      </c>
      <c r="U914">
        <f t="shared" si="70"/>
        <v>127.36</v>
      </c>
      <c r="V914">
        <v>0.81</v>
      </c>
      <c r="W914">
        <v>0</v>
      </c>
      <c r="X914">
        <v>0</v>
      </c>
      <c r="Y914">
        <f t="shared" si="71"/>
        <v>0</v>
      </c>
      <c r="Z914">
        <f t="shared" si="72"/>
        <v>103.16160000000001</v>
      </c>
      <c r="AA914">
        <f t="shared" si="73"/>
        <v>103.16160000000001</v>
      </c>
      <c r="AB914">
        <f t="shared" si="74"/>
        <v>198.07027200000002</v>
      </c>
    </row>
    <row r="915" spans="1:28" ht="25.5" x14ac:dyDescent="0.25">
      <c r="A915" s="7">
        <v>914</v>
      </c>
      <c r="B915" s="7" t="s">
        <v>15</v>
      </c>
      <c r="C915" s="7" t="s">
        <v>41</v>
      </c>
      <c r="D915" s="7" t="s">
        <v>1011</v>
      </c>
      <c r="E915" s="7"/>
      <c r="F915" s="8"/>
      <c r="G915" s="7" t="s">
        <v>1011</v>
      </c>
      <c r="H915" s="9">
        <v>36.633279999999999</v>
      </c>
      <c r="I915" s="9">
        <v>9.5931490000000004</v>
      </c>
      <c r="J915" s="7" t="s">
        <v>43</v>
      </c>
      <c r="K915" s="7" t="s">
        <v>37</v>
      </c>
      <c r="L915" s="7"/>
      <c r="M915" s="10">
        <v>3.37</v>
      </c>
      <c r="N915" s="7" t="s">
        <v>52</v>
      </c>
      <c r="O915" s="7"/>
      <c r="P915" s="8" t="s">
        <v>39</v>
      </c>
      <c r="Q915">
        <v>1.97</v>
      </c>
      <c r="R915">
        <v>35.299999999999997</v>
      </c>
      <c r="S915" t="s">
        <v>40</v>
      </c>
      <c r="T915">
        <v>12</v>
      </c>
      <c r="U915">
        <f t="shared" si="70"/>
        <v>23.64</v>
      </c>
      <c r="V915">
        <v>0.66</v>
      </c>
      <c r="W915">
        <v>80</v>
      </c>
      <c r="X915">
        <v>0.35</v>
      </c>
      <c r="Y915">
        <f t="shared" si="71"/>
        <v>28</v>
      </c>
      <c r="Z915">
        <f t="shared" si="72"/>
        <v>15.602400000000001</v>
      </c>
      <c r="AA915">
        <f t="shared" si="73"/>
        <v>0</v>
      </c>
      <c r="AB915">
        <f t="shared" si="74"/>
        <v>0</v>
      </c>
    </row>
    <row r="916" spans="1:28" ht="25.5" x14ac:dyDescent="0.25">
      <c r="A916" s="7">
        <v>915</v>
      </c>
      <c r="B916" s="7" t="s">
        <v>15</v>
      </c>
      <c r="C916" s="7" t="s">
        <v>45</v>
      </c>
      <c r="D916" s="7" t="s">
        <v>1012</v>
      </c>
      <c r="E916" s="7"/>
      <c r="F916" s="8"/>
      <c r="G916" s="7" t="s">
        <v>1012</v>
      </c>
      <c r="H916" s="9">
        <v>36.598633</v>
      </c>
      <c r="I916" s="9">
        <v>10.339658999999999</v>
      </c>
      <c r="J916" s="7" t="s">
        <v>47</v>
      </c>
      <c r="K916" s="7" t="s">
        <v>37</v>
      </c>
      <c r="L916" s="7"/>
      <c r="M916" s="10">
        <v>6.91</v>
      </c>
      <c r="N916" s="7" t="s">
        <v>57</v>
      </c>
      <c r="O916" s="7"/>
      <c r="P916" s="8" t="s">
        <v>39</v>
      </c>
      <c r="Q916">
        <v>1.96</v>
      </c>
      <c r="R916">
        <v>25.3</v>
      </c>
      <c r="S916" t="s">
        <v>58</v>
      </c>
      <c r="T916">
        <v>8</v>
      </c>
      <c r="U916">
        <f t="shared" si="70"/>
        <v>15.68</v>
      </c>
      <c r="V916">
        <v>1.08</v>
      </c>
      <c r="W916">
        <v>120</v>
      </c>
      <c r="X916">
        <v>0.35</v>
      </c>
      <c r="Y916">
        <f t="shared" si="71"/>
        <v>42</v>
      </c>
      <c r="Z916">
        <f t="shared" si="72"/>
        <v>16.9344</v>
      </c>
      <c r="AA916">
        <f t="shared" si="73"/>
        <v>0</v>
      </c>
      <c r="AB916">
        <f t="shared" si="74"/>
        <v>0</v>
      </c>
    </row>
    <row r="917" spans="1:28" ht="25.5" x14ac:dyDescent="0.25">
      <c r="A917" s="7">
        <v>916</v>
      </c>
      <c r="B917" s="7" t="s">
        <v>15</v>
      </c>
      <c r="C917" s="7" t="s">
        <v>49</v>
      </c>
      <c r="D917" s="7" t="s">
        <v>1013</v>
      </c>
      <c r="E917" s="7"/>
      <c r="F917" s="8"/>
      <c r="G917" s="7" t="s">
        <v>1013</v>
      </c>
      <c r="H917" s="9">
        <v>37.147309</v>
      </c>
      <c r="I917" s="9">
        <v>9.7999919999999996</v>
      </c>
      <c r="J917" s="7" t="s">
        <v>51</v>
      </c>
      <c r="K917" s="7" t="s">
        <v>37</v>
      </c>
      <c r="L917" s="7"/>
      <c r="M917" s="10">
        <v>4.75</v>
      </c>
      <c r="N917" s="7" t="s">
        <v>62</v>
      </c>
      <c r="O917" s="7"/>
      <c r="P917" s="8" t="s">
        <v>39</v>
      </c>
      <c r="Q917">
        <v>4.25</v>
      </c>
      <c r="R917">
        <v>16.2</v>
      </c>
      <c r="S917" t="s">
        <v>53</v>
      </c>
      <c r="T917">
        <v>7</v>
      </c>
      <c r="U917">
        <f t="shared" si="70"/>
        <v>29.75</v>
      </c>
      <c r="V917">
        <v>1.26</v>
      </c>
      <c r="W917">
        <v>160</v>
      </c>
      <c r="X917">
        <v>0.35</v>
      </c>
      <c r="Y917">
        <f t="shared" si="71"/>
        <v>56</v>
      </c>
      <c r="Z917">
        <f t="shared" si="72"/>
        <v>37.484999999999999</v>
      </c>
      <c r="AA917">
        <f t="shared" si="73"/>
        <v>0</v>
      </c>
      <c r="AB917">
        <f t="shared" si="74"/>
        <v>0</v>
      </c>
    </row>
    <row r="918" spans="1:28" ht="25.5" x14ac:dyDescent="0.25">
      <c r="A918" s="7">
        <v>917</v>
      </c>
      <c r="B918" s="7" t="s">
        <v>15</v>
      </c>
      <c r="C918" s="7" t="s">
        <v>54</v>
      </c>
      <c r="D918" s="7" t="s">
        <v>1014</v>
      </c>
      <c r="E918" s="7"/>
      <c r="F918" s="8"/>
      <c r="G918" s="7" t="s">
        <v>1014</v>
      </c>
      <c r="H918" s="9">
        <v>33.610712999999997</v>
      </c>
      <c r="I918" s="9">
        <v>10.268312999999999</v>
      </c>
      <c r="J918" s="7" t="s">
        <v>56</v>
      </c>
      <c r="K918" s="7" t="s">
        <v>37</v>
      </c>
      <c r="L918" s="7"/>
      <c r="M918" s="10">
        <v>24.66</v>
      </c>
      <c r="N918" s="7" t="s">
        <v>66</v>
      </c>
      <c r="O918" s="7"/>
      <c r="P918" s="8" t="s">
        <v>39</v>
      </c>
      <c r="Q918">
        <v>5.87</v>
      </c>
      <c r="R918">
        <v>30.7</v>
      </c>
      <c r="S918" t="s">
        <v>58</v>
      </c>
      <c r="T918">
        <v>10</v>
      </c>
      <c r="U918">
        <f t="shared" si="70"/>
        <v>58.7</v>
      </c>
      <c r="V918">
        <v>0.72</v>
      </c>
      <c r="W918">
        <v>50</v>
      </c>
      <c r="X918">
        <v>0.35</v>
      </c>
      <c r="Y918">
        <f t="shared" si="71"/>
        <v>17.5</v>
      </c>
      <c r="Z918">
        <f t="shared" si="72"/>
        <v>42.264000000000003</v>
      </c>
      <c r="AA918">
        <f t="shared" si="73"/>
        <v>24.764000000000003</v>
      </c>
      <c r="AB918">
        <f t="shared" si="74"/>
        <v>610.68024000000003</v>
      </c>
    </row>
    <row r="919" spans="1:28" ht="25.5" x14ac:dyDescent="0.25">
      <c r="A919" s="7">
        <v>918</v>
      </c>
      <c r="B919" s="7" t="s">
        <v>15</v>
      </c>
      <c r="C919" s="7" t="s">
        <v>59</v>
      </c>
      <c r="D919" s="7" t="s">
        <v>1015</v>
      </c>
      <c r="E919" s="7"/>
      <c r="F919" s="8"/>
      <c r="G919" s="7" t="s">
        <v>1015</v>
      </c>
      <c r="H919" s="9">
        <v>34.324463999999999</v>
      </c>
      <c r="I919" s="9">
        <v>8.3972350000000002</v>
      </c>
      <c r="J919" s="7" t="s">
        <v>61</v>
      </c>
      <c r="K919" s="7" t="s">
        <v>37</v>
      </c>
      <c r="L919" s="7"/>
      <c r="M919" s="10">
        <v>22.29</v>
      </c>
      <c r="N919" s="7" t="s">
        <v>70</v>
      </c>
      <c r="O919" s="7"/>
      <c r="P919" s="8" t="s">
        <v>39</v>
      </c>
      <c r="Q919">
        <v>7.22</v>
      </c>
      <c r="R919">
        <v>19.2</v>
      </c>
      <c r="S919" t="s">
        <v>53</v>
      </c>
      <c r="T919">
        <v>9</v>
      </c>
      <c r="U919">
        <f t="shared" si="70"/>
        <v>64.98</v>
      </c>
      <c r="V919">
        <v>1.03</v>
      </c>
      <c r="W919">
        <v>0</v>
      </c>
      <c r="X919">
        <v>0</v>
      </c>
      <c r="Y919">
        <f t="shared" si="71"/>
        <v>0</v>
      </c>
      <c r="Z919">
        <f t="shared" si="72"/>
        <v>66.929400000000001</v>
      </c>
      <c r="AA919">
        <f t="shared" si="73"/>
        <v>66.929400000000001</v>
      </c>
      <c r="AB919">
        <f t="shared" si="74"/>
        <v>1491.8563260000001</v>
      </c>
    </row>
    <row r="920" spans="1:28" ht="25.5" x14ac:dyDescent="0.25">
      <c r="A920" s="7">
        <v>919</v>
      </c>
      <c r="B920" s="7" t="s">
        <v>15</v>
      </c>
      <c r="C920" s="7" t="s">
        <v>63</v>
      </c>
      <c r="D920" s="7" t="s">
        <v>1016</v>
      </c>
      <c r="E920" s="7"/>
      <c r="F920" s="8"/>
      <c r="G920" s="7" t="s">
        <v>1016</v>
      </c>
      <c r="H920" s="9">
        <v>36.943088000000003</v>
      </c>
      <c r="I920" s="9">
        <v>8.7278339999999996</v>
      </c>
      <c r="J920" s="7" t="s">
        <v>65</v>
      </c>
      <c r="K920" s="7" t="s">
        <v>37</v>
      </c>
      <c r="L920" s="7"/>
      <c r="M920" s="10">
        <v>15.87</v>
      </c>
      <c r="N920" s="7" t="s">
        <v>74</v>
      </c>
      <c r="O920" s="7"/>
      <c r="P920" s="8" t="s">
        <v>39</v>
      </c>
      <c r="Q920">
        <v>2.36</v>
      </c>
      <c r="R920">
        <v>26.1</v>
      </c>
      <c r="S920" t="s">
        <v>58</v>
      </c>
      <c r="T920">
        <v>10</v>
      </c>
      <c r="U920">
        <f t="shared" si="70"/>
        <v>23.599999999999998</v>
      </c>
      <c r="V920">
        <v>0.81</v>
      </c>
      <c r="W920">
        <v>120</v>
      </c>
      <c r="X920">
        <v>0.35</v>
      </c>
      <c r="Y920">
        <f t="shared" si="71"/>
        <v>42</v>
      </c>
      <c r="Z920">
        <f t="shared" si="72"/>
        <v>19.116</v>
      </c>
      <c r="AA920">
        <f t="shared" si="73"/>
        <v>0</v>
      </c>
      <c r="AB920">
        <f t="shared" si="74"/>
        <v>0</v>
      </c>
    </row>
    <row r="921" spans="1:28" ht="25.5" x14ac:dyDescent="0.25">
      <c r="A921" s="7">
        <v>920</v>
      </c>
      <c r="B921" s="7" t="s">
        <v>15</v>
      </c>
      <c r="C921" s="7" t="s">
        <v>67</v>
      </c>
      <c r="D921" s="7" t="s">
        <v>1017</v>
      </c>
      <c r="E921" s="7"/>
      <c r="F921" s="8"/>
      <c r="G921" s="7" t="s">
        <v>1017</v>
      </c>
      <c r="H921" s="9">
        <v>35.599043000000002</v>
      </c>
      <c r="I921" s="9">
        <v>9.9081250000000001</v>
      </c>
      <c r="J921" s="7" t="s">
        <v>69</v>
      </c>
      <c r="K921" s="7" t="s">
        <v>37</v>
      </c>
      <c r="L921" s="7"/>
      <c r="M921" s="10">
        <v>10.11</v>
      </c>
      <c r="N921" s="7" t="s">
        <v>78</v>
      </c>
      <c r="O921" s="7"/>
      <c r="P921" s="8" t="s">
        <v>39</v>
      </c>
      <c r="Q921">
        <v>2.96</v>
      </c>
      <c r="R921">
        <v>41.5</v>
      </c>
      <c r="S921" t="s">
        <v>40</v>
      </c>
      <c r="T921">
        <v>14</v>
      </c>
      <c r="U921">
        <f t="shared" si="70"/>
        <v>41.44</v>
      </c>
      <c r="V921">
        <v>0.6</v>
      </c>
      <c r="W921">
        <v>120</v>
      </c>
      <c r="X921">
        <v>0.35</v>
      </c>
      <c r="Y921">
        <f t="shared" si="71"/>
        <v>42</v>
      </c>
      <c r="Z921">
        <f t="shared" si="72"/>
        <v>24.863999999999997</v>
      </c>
      <c r="AA921">
        <f t="shared" si="73"/>
        <v>0</v>
      </c>
      <c r="AB921">
        <f t="shared" si="74"/>
        <v>0</v>
      </c>
    </row>
    <row r="922" spans="1:28" ht="25.5" x14ac:dyDescent="0.25">
      <c r="A922" s="7">
        <v>921</v>
      </c>
      <c r="B922" s="7" t="s">
        <v>15</v>
      </c>
      <c r="C922" s="7" t="s">
        <v>71</v>
      </c>
      <c r="D922" s="7" t="s">
        <v>1018</v>
      </c>
      <c r="E922" s="7"/>
      <c r="F922" s="8"/>
      <c r="G922" s="7" t="s">
        <v>1018</v>
      </c>
      <c r="H922" s="9">
        <v>35.212432</v>
      </c>
      <c r="I922" s="9">
        <v>9.1379040000000007</v>
      </c>
      <c r="J922" s="7" t="s">
        <v>73</v>
      </c>
      <c r="K922" s="7" t="s">
        <v>37</v>
      </c>
      <c r="L922" s="7"/>
      <c r="M922" s="10">
        <v>12.33</v>
      </c>
      <c r="N922" s="7" t="s">
        <v>38</v>
      </c>
      <c r="O922" s="7"/>
      <c r="P922" s="8" t="s">
        <v>39</v>
      </c>
      <c r="Q922">
        <v>4.4400000000000004</v>
      </c>
      <c r="R922">
        <v>31.9</v>
      </c>
      <c r="S922" t="s">
        <v>58</v>
      </c>
      <c r="T922">
        <v>18</v>
      </c>
      <c r="U922">
        <f t="shared" si="70"/>
        <v>79.92</v>
      </c>
      <c r="V922">
        <v>0.9</v>
      </c>
      <c r="W922">
        <v>0</v>
      </c>
      <c r="X922">
        <v>0</v>
      </c>
      <c r="Y922">
        <f t="shared" si="71"/>
        <v>0</v>
      </c>
      <c r="Z922">
        <f t="shared" si="72"/>
        <v>71.927999999999997</v>
      </c>
      <c r="AA922">
        <f t="shared" si="73"/>
        <v>71.927999999999997</v>
      </c>
      <c r="AB922">
        <f t="shared" si="74"/>
        <v>886.87223999999992</v>
      </c>
    </row>
    <row r="923" spans="1:28" ht="25.5" x14ac:dyDescent="0.25">
      <c r="A923" s="7">
        <v>922</v>
      </c>
      <c r="B923" s="7" t="s">
        <v>15</v>
      </c>
      <c r="C923" s="7" t="s">
        <v>75</v>
      </c>
      <c r="D923" s="7" t="s">
        <v>1019</v>
      </c>
      <c r="E923" s="7"/>
      <c r="F923" s="8"/>
      <c r="G923" s="7" t="s">
        <v>1019</v>
      </c>
      <c r="H923" s="9">
        <v>33.457335999999998</v>
      </c>
      <c r="I923" s="9">
        <v>9.0283029999999993</v>
      </c>
      <c r="J923" s="7" t="s">
        <v>77</v>
      </c>
      <c r="K923" s="7" t="s">
        <v>37</v>
      </c>
      <c r="L923" s="7"/>
      <c r="M923" s="10">
        <v>22.92</v>
      </c>
      <c r="N923" s="7" t="s">
        <v>44</v>
      </c>
      <c r="O923" s="7"/>
      <c r="P923" s="8" t="s">
        <v>39</v>
      </c>
      <c r="Q923">
        <v>2.0499999999999998</v>
      </c>
      <c r="R923">
        <v>33.9</v>
      </c>
      <c r="S923" t="s">
        <v>58</v>
      </c>
      <c r="T923">
        <v>18</v>
      </c>
      <c r="U923">
        <f t="shared" si="70"/>
        <v>36.9</v>
      </c>
      <c r="V923">
        <v>0.9</v>
      </c>
      <c r="W923">
        <v>0</v>
      </c>
      <c r="X923">
        <v>0</v>
      </c>
      <c r="Y923">
        <f t="shared" si="71"/>
        <v>0</v>
      </c>
      <c r="Z923">
        <f t="shared" si="72"/>
        <v>33.21</v>
      </c>
      <c r="AA923">
        <f t="shared" si="73"/>
        <v>33.21</v>
      </c>
      <c r="AB923">
        <f t="shared" si="74"/>
        <v>761.17320000000007</v>
      </c>
    </row>
    <row r="924" spans="1:28" ht="25.5" x14ac:dyDescent="0.25">
      <c r="A924" s="7">
        <v>923</v>
      </c>
      <c r="B924" s="7" t="s">
        <v>15</v>
      </c>
      <c r="C924" s="7" t="s">
        <v>79</v>
      </c>
      <c r="D924" s="7" t="s">
        <v>1020</v>
      </c>
      <c r="E924" s="7"/>
      <c r="F924" s="8"/>
      <c r="G924" s="7" t="s">
        <v>1020</v>
      </c>
      <c r="H924" s="9">
        <v>35.952413</v>
      </c>
      <c r="I924" s="9">
        <v>8.8209020000000002</v>
      </c>
      <c r="J924" s="7" t="s">
        <v>81</v>
      </c>
      <c r="K924" s="7" t="s">
        <v>37</v>
      </c>
      <c r="L924" s="7"/>
      <c r="M924" s="10">
        <v>6.26</v>
      </c>
      <c r="N924" s="7" t="s">
        <v>48</v>
      </c>
      <c r="O924" s="7"/>
      <c r="P924" s="8" t="s">
        <v>39</v>
      </c>
      <c r="Q924">
        <v>2.61</v>
      </c>
      <c r="R924">
        <v>32.9</v>
      </c>
      <c r="S924" t="s">
        <v>58</v>
      </c>
      <c r="T924">
        <v>16</v>
      </c>
      <c r="U924">
        <f t="shared" si="70"/>
        <v>41.76</v>
      </c>
      <c r="V924">
        <v>0.81</v>
      </c>
      <c r="W924">
        <v>120</v>
      </c>
      <c r="X924">
        <v>0.35</v>
      </c>
      <c r="Y924">
        <f t="shared" si="71"/>
        <v>42</v>
      </c>
      <c r="Z924">
        <f t="shared" si="72"/>
        <v>33.825600000000001</v>
      </c>
      <c r="AA924">
        <f t="shared" si="73"/>
        <v>0</v>
      </c>
      <c r="AB924">
        <f t="shared" si="74"/>
        <v>0</v>
      </c>
    </row>
    <row r="925" spans="1:28" ht="25.5" x14ac:dyDescent="0.25">
      <c r="A925" s="7">
        <v>924</v>
      </c>
      <c r="B925" s="7" t="s">
        <v>15</v>
      </c>
      <c r="C925" s="7" t="s">
        <v>82</v>
      </c>
      <c r="D925" s="7" t="s">
        <v>1021</v>
      </c>
      <c r="E925" s="7"/>
      <c r="F925" s="8"/>
      <c r="G925" s="7" t="s">
        <v>1021</v>
      </c>
      <c r="H925" s="9">
        <v>35.235593000000001</v>
      </c>
      <c r="I925" s="9">
        <v>11.095478999999999</v>
      </c>
      <c r="J925" s="7" t="s">
        <v>84</v>
      </c>
      <c r="K925" s="7" t="s">
        <v>37</v>
      </c>
      <c r="L925" s="7"/>
      <c r="M925" s="10">
        <v>7.54</v>
      </c>
      <c r="N925" s="7" t="s">
        <v>52</v>
      </c>
      <c r="O925" s="7"/>
      <c r="P925" s="8" t="s">
        <v>39</v>
      </c>
      <c r="Q925">
        <v>3.25</v>
      </c>
      <c r="R925">
        <v>24.7</v>
      </c>
      <c r="S925" t="s">
        <v>53</v>
      </c>
      <c r="T925">
        <v>12</v>
      </c>
      <c r="U925">
        <f t="shared" si="70"/>
        <v>39</v>
      </c>
      <c r="V925">
        <v>1.26</v>
      </c>
      <c r="W925">
        <v>0</v>
      </c>
      <c r="X925">
        <v>0</v>
      </c>
      <c r="Y925">
        <f t="shared" si="71"/>
        <v>0</v>
      </c>
      <c r="Z925">
        <f t="shared" si="72"/>
        <v>49.14</v>
      </c>
      <c r="AA925">
        <f t="shared" si="73"/>
        <v>49.14</v>
      </c>
      <c r="AB925">
        <f t="shared" si="74"/>
        <v>370.51560000000001</v>
      </c>
    </row>
    <row r="926" spans="1:28" ht="25.5" x14ac:dyDescent="0.25">
      <c r="A926" s="7">
        <v>925</v>
      </c>
      <c r="B926" s="7" t="s">
        <v>15</v>
      </c>
      <c r="C926" s="7" t="s">
        <v>85</v>
      </c>
      <c r="D926" s="7" t="s">
        <v>1022</v>
      </c>
      <c r="E926" s="7"/>
      <c r="F926" s="8"/>
      <c r="G926" s="7" t="s">
        <v>1022</v>
      </c>
      <c r="H926" s="9">
        <v>36.834035999999998</v>
      </c>
      <c r="I926" s="9">
        <v>9.8724589999999992</v>
      </c>
      <c r="J926" s="7" t="s">
        <v>87</v>
      </c>
      <c r="K926" s="7" t="s">
        <v>37</v>
      </c>
      <c r="L926" s="7"/>
      <c r="M926" s="10">
        <v>13.14</v>
      </c>
      <c r="N926" s="7" t="s">
        <v>57</v>
      </c>
      <c r="O926" s="7"/>
      <c r="P926" s="8" t="s">
        <v>39</v>
      </c>
      <c r="Q926">
        <v>5.72</v>
      </c>
      <c r="R926">
        <v>35</v>
      </c>
      <c r="S926" t="s">
        <v>40</v>
      </c>
      <c r="T926">
        <v>8</v>
      </c>
      <c r="U926">
        <f t="shared" si="70"/>
        <v>45.76</v>
      </c>
      <c r="V926">
        <v>0.72</v>
      </c>
      <c r="W926">
        <v>0</v>
      </c>
      <c r="X926">
        <v>0</v>
      </c>
      <c r="Y926">
        <f t="shared" si="71"/>
        <v>0</v>
      </c>
      <c r="Z926">
        <f t="shared" si="72"/>
        <v>32.947199999999995</v>
      </c>
      <c r="AA926">
        <f t="shared" si="73"/>
        <v>32.947199999999995</v>
      </c>
      <c r="AB926">
        <f t="shared" si="74"/>
        <v>432.92620799999997</v>
      </c>
    </row>
    <row r="927" spans="1:28" ht="25.5" x14ac:dyDescent="0.25">
      <c r="A927" s="7">
        <v>926</v>
      </c>
      <c r="B927" s="7" t="s">
        <v>15</v>
      </c>
      <c r="C927" s="7" t="s">
        <v>88</v>
      </c>
      <c r="D927" s="7" t="s">
        <v>1023</v>
      </c>
      <c r="E927" s="7"/>
      <c r="F927" s="8"/>
      <c r="G927" s="7" t="s">
        <v>1023</v>
      </c>
      <c r="H927" s="9">
        <v>33.811650999999998</v>
      </c>
      <c r="I927" s="9">
        <v>11.021350999999999</v>
      </c>
      <c r="J927" s="7" t="s">
        <v>90</v>
      </c>
      <c r="K927" s="7" t="s">
        <v>37</v>
      </c>
      <c r="L927" s="7"/>
      <c r="M927" s="10">
        <v>0.87</v>
      </c>
      <c r="N927" s="7" t="s">
        <v>62</v>
      </c>
      <c r="O927" s="7"/>
      <c r="P927" s="8" t="s">
        <v>39</v>
      </c>
      <c r="Q927">
        <v>4.41</v>
      </c>
      <c r="R927">
        <v>23.9</v>
      </c>
      <c r="S927" t="s">
        <v>53</v>
      </c>
      <c r="T927">
        <v>7</v>
      </c>
      <c r="U927">
        <f t="shared" si="70"/>
        <v>30.87</v>
      </c>
      <c r="V927">
        <v>1.26</v>
      </c>
      <c r="W927">
        <v>0</v>
      </c>
      <c r="X927">
        <v>0</v>
      </c>
      <c r="Y927">
        <f t="shared" si="71"/>
        <v>0</v>
      </c>
      <c r="Z927">
        <f t="shared" si="72"/>
        <v>38.8962</v>
      </c>
      <c r="AA927">
        <f t="shared" si="73"/>
        <v>38.8962</v>
      </c>
      <c r="AB927">
        <f t="shared" si="74"/>
        <v>33.839694000000001</v>
      </c>
    </row>
    <row r="928" spans="1:28" ht="25.5" x14ac:dyDescent="0.25">
      <c r="A928" s="7">
        <v>927</v>
      </c>
      <c r="B928" s="7" t="s">
        <v>15</v>
      </c>
      <c r="C928" s="7" t="s">
        <v>92</v>
      </c>
      <c r="D928" s="7" t="s">
        <v>1024</v>
      </c>
      <c r="E928" s="7"/>
      <c r="F928" s="8"/>
      <c r="G928" s="7" t="s">
        <v>1024</v>
      </c>
      <c r="H928" s="9">
        <v>35.641131999999999</v>
      </c>
      <c r="I928" s="9">
        <v>10.770141000000001</v>
      </c>
      <c r="J928" s="7" t="s">
        <v>94</v>
      </c>
      <c r="K928" s="7" t="s">
        <v>37</v>
      </c>
      <c r="L928" s="7"/>
      <c r="M928" s="10">
        <v>13.06</v>
      </c>
      <c r="N928" s="7" t="s">
        <v>66</v>
      </c>
      <c r="O928" s="7"/>
      <c r="P928" s="8" t="s">
        <v>39</v>
      </c>
      <c r="Q928">
        <v>4.59</v>
      </c>
      <c r="R928">
        <v>37.6</v>
      </c>
      <c r="S928" t="s">
        <v>40</v>
      </c>
      <c r="T928">
        <v>10</v>
      </c>
      <c r="U928">
        <f t="shared" si="70"/>
        <v>45.9</v>
      </c>
      <c r="V928">
        <v>0.48</v>
      </c>
      <c r="W928">
        <v>50</v>
      </c>
      <c r="X928">
        <v>0.35</v>
      </c>
      <c r="Y928">
        <f t="shared" si="71"/>
        <v>17.5</v>
      </c>
      <c r="Z928">
        <f t="shared" si="72"/>
        <v>22.032</v>
      </c>
      <c r="AA928">
        <f t="shared" si="73"/>
        <v>4.532</v>
      </c>
      <c r="AB928">
        <f t="shared" si="74"/>
        <v>59.187920000000005</v>
      </c>
    </row>
    <row r="929" spans="1:28" ht="25.5" x14ac:dyDescent="0.25">
      <c r="A929" s="7">
        <v>928</v>
      </c>
      <c r="B929" s="7" t="s">
        <v>15</v>
      </c>
      <c r="C929" s="7" t="s">
        <v>95</v>
      </c>
      <c r="D929" s="7" t="s">
        <v>1025</v>
      </c>
      <c r="E929" s="7"/>
      <c r="F929" s="8"/>
      <c r="G929" s="7" t="s">
        <v>1025</v>
      </c>
      <c r="H929" s="9">
        <v>36.559012000000003</v>
      </c>
      <c r="I929" s="9">
        <v>10.863894</v>
      </c>
      <c r="J929" s="7" t="s">
        <v>97</v>
      </c>
      <c r="K929" s="7" t="s">
        <v>37</v>
      </c>
      <c r="L929" s="7"/>
      <c r="M929" s="10">
        <v>19.420000000000002</v>
      </c>
      <c r="N929" s="7" t="s">
        <v>70</v>
      </c>
      <c r="O929" s="7"/>
      <c r="P929" s="8" t="s">
        <v>39</v>
      </c>
      <c r="Q929">
        <v>3.07</v>
      </c>
      <c r="R929">
        <v>11.1</v>
      </c>
      <c r="S929" t="s">
        <v>91</v>
      </c>
      <c r="T929">
        <v>9</v>
      </c>
      <c r="U929">
        <f t="shared" si="70"/>
        <v>27.63</v>
      </c>
      <c r="V929">
        <v>1.22</v>
      </c>
      <c r="W929">
        <v>160</v>
      </c>
      <c r="X929">
        <v>0.35</v>
      </c>
      <c r="Y929">
        <f t="shared" si="71"/>
        <v>56</v>
      </c>
      <c r="Z929">
        <f t="shared" si="72"/>
        <v>33.708599999999997</v>
      </c>
      <c r="AA929">
        <f t="shared" si="73"/>
        <v>0</v>
      </c>
      <c r="AB929">
        <f t="shared" si="74"/>
        <v>0</v>
      </c>
    </row>
    <row r="930" spans="1:28" ht="25.5" x14ac:dyDescent="0.25">
      <c r="A930" s="7">
        <v>929</v>
      </c>
      <c r="B930" s="7" t="s">
        <v>15</v>
      </c>
      <c r="C930" s="7" t="s">
        <v>98</v>
      </c>
      <c r="D930" s="7" t="s">
        <v>1026</v>
      </c>
      <c r="E930" s="7"/>
      <c r="F930" s="8"/>
      <c r="G930" s="7" t="s">
        <v>1026</v>
      </c>
      <c r="H930" s="9">
        <v>34.769834000000003</v>
      </c>
      <c r="I930" s="9">
        <v>10.489361000000001</v>
      </c>
      <c r="J930" s="7" t="s">
        <v>100</v>
      </c>
      <c r="K930" s="7" t="s">
        <v>37</v>
      </c>
      <c r="L930" s="7"/>
      <c r="M930" s="10">
        <v>22.81</v>
      </c>
      <c r="N930" s="7" t="s">
        <v>74</v>
      </c>
      <c r="O930" s="7"/>
      <c r="P930" s="8" t="s">
        <v>39</v>
      </c>
      <c r="Q930">
        <v>3.36</v>
      </c>
      <c r="R930">
        <v>13.8</v>
      </c>
      <c r="S930" t="s">
        <v>91</v>
      </c>
      <c r="T930">
        <v>10</v>
      </c>
      <c r="U930">
        <f t="shared" si="70"/>
        <v>33.6</v>
      </c>
      <c r="V930">
        <v>1.22</v>
      </c>
      <c r="W930">
        <v>120</v>
      </c>
      <c r="X930">
        <v>0.35</v>
      </c>
      <c r="Y930">
        <f t="shared" si="71"/>
        <v>42</v>
      </c>
      <c r="Z930">
        <f t="shared" si="72"/>
        <v>40.991999999999997</v>
      </c>
      <c r="AA930">
        <f t="shared" si="73"/>
        <v>0</v>
      </c>
      <c r="AB930">
        <f t="shared" si="74"/>
        <v>0</v>
      </c>
    </row>
    <row r="931" spans="1:28" ht="25.5" x14ac:dyDescent="0.25">
      <c r="A931" s="7">
        <v>930</v>
      </c>
      <c r="B931" s="7" t="s">
        <v>15</v>
      </c>
      <c r="C931" s="7" t="s">
        <v>101</v>
      </c>
      <c r="D931" s="7" t="s">
        <v>1027</v>
      </c>
      <c r="E931" s="7"/>
      <c r="F931" s="8"/>
      <c r="G931" s="7" t="s">
        <v>1027</v>
      </c>
      <c r="H931" s="9">
        <v>34.893372999999997</v>
      </c>
      <c r="I931" s="9">
        <v>9.7842380000000002</v>
      </c>
      <c r="J931" s="7" t="s">
        <v>103</v>
      </c>
      <c r="K931" s="7" t="s">
        <v>37</v>
      </c>
      <c r="L931" s="7"/>
      <c r="M931" s="10">
        <v>3.51</v>
      </c>
      <c r="N931" s="7" t="s">
        <v>78</v>
      </c>
      <c r="O931" s="7"/>
      <c r="P931" s="8" t="s">
        <v>39</v>
      </c>
      <c r="Q931">
        <v>6.86</v>
      </c>
      <c r="R931">
        <v>19.8</v>
      </c>
      <c r="S931" t="s">
        <v>53</v>
      </c>
      <c r="T931">
        <v>14</v>
      </c>
      <c r="U931">
        <f t="shared" si="70"/>
        <v>96.04</v>
      </c>
      <c r="V931">
        <v>1.1499999999999999</v>
      </c>
      <c r="W931">
        <v>80</v>
      </c>
      <c r="X931">
        <v>0.35</v>
      </c>
      <c r="Y931">
        <f t="shared" si="71"/>
        <v>28</v>
      </c>
      <c r="Z931">
        <f t="shared" si="72"/>
        <v>110.446</v>
      </c>
      <c r="AA931">
        <f t="shared" si="73"/>
        <v>82.445999999999998</v>
      </c>
      <c r="AB931">
        <f t="shared" si="74"/>
        <v>289.38545999999997</v>
      </c>
    </row>
    <row r="932" spans="1:28" ht="25.5" x14ac:dyDescent="0.25">
      <c r="A932" s="7">
        <v>931</v>
      </c>
      <c r="B932" s="7" t="s">
        <v>15</v>
      </c>
      <c r="C932" s="7" t="s">
        <v>104</v>
      </c>
      <c r="D932" s="7" t="s">
        <v>1028</v>
      </c>
      <c r="E932" s="7"/>
      <c r="F932" s="8"/>
      <c r="G932" s="7" t="s">
        <v>1028</v>
      </c>
      <c r="H932" s="9">
        <v>35.848675</v>
      </c>
      <c r="I932" s="9">
        <v>9.1877490000000002</v>
      </c>
      <c r="J932" s="7" t="s">
        <v>106</v>
      </c>
      <c r="K932" s="7" t="s">
        <v>37</v>
      </c>
      <c r="L932" s="7"/>
      <c r="M932" s="10">
        <v>6.9</v>
      </c>
      <c r="N932" s="7" t="s">
        <v>38</v>
      </c>
      <c r="O932" s="7"/>
      <c r="P932" s="8" t="s">
        <v>39</v>
      </c>
      <c r="Q932">
        <v>6.34</v>
      </c>
      <c r="R932">
        <v>44.1</v>
      </c>
      <c r="S932" t="s">
        <v>40</v>
      </c>
      <c r="T932">
        <v>18</v>
      </c>
      <c r="U932">
        <f t="shared" si="70"/>
        <v>114.12</v>
      </c>
      <c r="V932">
        <v>0.6</v>
      </c>
      <c r="W932">
        <v>0</v>
      </c>
      <c r="X932">
        <v>0</v>
      </c>
      <c r="Y932">
        <f t="shared" si="71"/>
        <v>0</v>
      </c>
      <c r="Z932">
        <f t="shared" si="72"/>
        <v>68.471999999999994</v>
      </c>
      <c r="AA932">
        <f t="shared" si="73"/>
        <v>68.471999999999994</v>
      </c>
      <c r="AB932">
        <f t="shared" si="74"/>
        <v>472.45679999999999</v>
      </c>
    </row>
    <row r="933" spans="1:28" ht="25.5" x14ac:dyDescent="0.25">
      <c r="A933" s="7">
        <v>932</v>
      </c>
      <c r="B933" s="7" t="s">
        <v>15</v>
      </c>
      <c r="C933" s="7" t="s">
        <v>107</v>
      </c>
      <c r="D933" s="7" t="s">
        <v>1029</v>
      </c>
      <c r="E933" s="7"/>
      <c r="F933" s="8"/>
      <c r="G933" s="7" t="s">
        <v>1029</v>
      </c>
      <c r="H933" s="9">
        <v>36.144790999999998</v>
      </c>
      <c r="I933" s="9">
        <v>10.368632</v>
      </c>
      <c r="J933" s="7" t="s">
        <v>109</v>
      </c>
      <c r="K933" s="7" t="s">
        <v>37</v>
      </c>
      <c r="L933" s="7"/>
      <c r="M933" s="10">
        <v>14.39</v>
      </c>
      <c r="N933" s="7" t="s">
        <v>44</v>
      </c>
      <c r="O933" s="7"/>
      <c r="P933" s="8" t="s">
        <v>39</v>
      </c>
      <c r="Q933">
        <v>6.75</v>
      </c>
      <c r="R933">
        <v>10.199999999999999</v>
      </c>
      <c r="S933" t="s">
        <v>91</v>
      </c>
      <c r="T933">
        <v>18</v>
      </c>
      <c r="U933">
        <f t="shared" si="70"/>
        <v>121.5</v>
      </c>
      <c r="V933">
        <v>1.35</v>
      </c>
      <c r="W933">
        <v>0</v>
      </c>
      <c r="X933">
        <v>0</v>
      </c>
      <c r="Y933">
        <f t="shared" si="71"/>
        <v>0</v>
      </c>
      <c r="Z933">
        <f t="shared" si="72"/>
        <v>164.02500000000001</v>
      </c>
      <c r="AA933">
        <f t="shared" si="73"/>
        <v>164.02500000000001</v>
      </c>
      <c r="AB933">
        <f t="shared" si="74"/>
        <v>2360.3197500000001</v>
      </c>
    </row>
    <row r="934" spans="1:28" ht="25.5" x14ac:dyDescent="0.25">
      <c r="A934" s="7">
        <v>933</v>
      </c>
      <c r="B934" s="7" t="s">
        <v>15</v>
      </c>
      <c r="C934" s="7" t="s">
        <v>110</v>
      </c>
      <c r="D934" s="7" t="s">
        <v>1030</v>
      </c>
      <c r="E934" s="7"/>
      <c r="F934" s="8"/>
      <c r="G934" s="7" t="s">
        <v>1030</v>
      </c>
      <c r="H934" s="9">
        <v>33.185735000000001</v>
      </c>
      <c r="I934" s="9">
        <v>10.246554</v>
      </c>
      <c r="J934" s="7" t="s">
        <v>112</v>
      </c>
      <c r="K934" s="7" t="s">
        <v>37</v>
      </c>
      <c r="L934" s="7"/>
      <c r="M934" s="10">
        <v>22.05</v>
      </c>
      <c r="N934" s="7" t="s">
        <v>48</v>
      </c>
      <c r="O934" s="7"/>
      <c r="P934" s="8" t="s">
        <v>39</v>
      </c>
      <c r="Q934">
        <v>6.43</v>
      </c>
      <c r="R934">
        <v>30.2</v>
      </c>
      <c r="S934" t="s">
        <v>58</v>
      </c>
      <c r="T934">
        <v>16</v>
      </c>
      <c r="U934">
        <f t="shared" si="70"/>
        <v>102.88</v>
      </c>
      <c r="V934">
        <v>0.81</v>
      </c>
      <c r="W934">
        <v>0</v>
      </c>
      <c r="X934">
        <v>0</v>
      </c>
      <c r="Y934">
        <f t="shared" si="71"/>
        <v>0</v>
      </c>
      <c r="Z934">
        <f t="shared" si="72"/>
        <v>83.332800000000006</v>
      </c>
      <c r="AA934">
        <f t="shared" si="73"/>
        <v>83.332800000000006</v>
      </c>
      <c r="AB934">
        <f t="shared" si="74"/>
        <v>1837.4882400000001</v>
      </c>
    </row>
    <row r="935" spans="1:28" ht="25.5" x14ac:dyDescent="0.25">
      <c r="A935" s="7">
        <v>934</v>
      </c>
      <c r="B935" s="7" t="s">
        <v>15</v>
      </c>
      <c r="C935" s="7" t="s">
        <v>113</v>
      </c>
      <c r="D935" s="7" t="s">
        <v>1031</v>
      </c>
      <c r="E935" s="7"/>
      <c r="F935" s="8"/>
      <c r="G935" s="7" t="s">
        <v>1031</v>
      </c>
      <c r="H935" s="9">
        <v>33.869197</v>
      </c>
      <c r="I935" s="9">
        <v>7.893313</v>
      </c>
      <c r="J935" s="7" t="s">
        <v>115</v>
      </c>
      <c r="K935" s="7" t="s">
        <v>37</v>
      </c>
      <c r="L935" s="7"/>
      <c r="M935" s="10">
        <v>17.920000000000002</v>
      </c>
      <c r="N935" s="7" t="s">
        <v>52</v>
      </c>
      <c r="O935" s="7"/>
      <c r="P935" s="8" t="s">
        <v>39</v>
      </c>
      <c r="Q935">
        <v>6.65</v>
      </c>
      <c r="R935">
        <v>21.2</v>
      </c>
      <c r="S935" t="s">
        <v>53</v>
      </c>
      <c r="T935">
        <v>12</v>
      </c>
      <c r="U935">
        <f t="shared" si="70"/>
        <v>79.800000000000011</v>
      </c>
      <c r="V935">
        <v>1.26</v>
      </c>
      <c r="W935">
        <v>120</v>
      </c>
      <c r="X935">
        <v>0.35</v>
      </c>
      <c r="Y935">
        <f t="shared" si="71"/>
        <v>42</v>
      </c>
      <c r="Z935">
        <f t="shared" si="72"/>
        <v>100.54800000000002</v>
      </c>
      <c r="AA935">
        <f t="shared" si="73"/>
        <v>58.548000000000016</v>
      </c>
      <c r="AB935">
        <f t="shared" si="74"/>
        <v>1049.1801600000003</v>
      </c>
    </row>
    <row r="936" spans="1:28" ht="25.5" x14ac:dyDescent="0.25">
      <c r="A936" s="7">
        <v>935</v>
      </c>
      <c r="B936" s="7" t="s">
        <v>15</v>
      </c>
      <c r="C936" s="7" t="s">
        <v>116</v>
      </c>
      <c r="D936" s="7" t="s">
        <v>1032</v>
      </c>
      <c r="E936" s="7"/>
      <c r="F936" s="8"/>
      <c r="G936" s="7" t="s">
        <v>1032</v>
      </c>
      <c r="H936" s="9">
        <v>36.833750000000002</v>
      </c>
      <c r="I936" s="9">
        <v>10.302479999999999</v>
      </c>
      <c r="J936" s="7" t="s">
        <v>118</v>
      </c>
      <c r="K936" s="7" t="s">
        <v>37</v>
      </c>
      <c r="L936" s="7"/>
      <c r="M936" s="10">
        <v>14.66</v>
      </c>
      <c r="N936" s="7" t="s">
        <v>57</v>
      </c>
      <c r="O936" s="7"/>
      <c r="P936" s="8" t="s">
        <v>39</v>
      </c>
      <c r="Q936">
        <v>5.18</v>
      </c>
      <c r="R936">
        <v>15.1</v>
      </c>
      <c r="S936" t="s">
        <v>53</v>
      </c>
      <c r="T936">
        <v>8</v>
      </c>
      <c r="U936">
        <f t="shared" si="70"/>
        <v>41.44</v>
      </c>
      <c r="V936">
        <v>1.38</v>
      </c>
      <c r="W936">
        <v>0</v>
      </c>
      <c r="X936">
        <v>0</v>
      </c>
      <c r="Y936">
        <f t="shared" si="71"/>
        <v>0</v>
      </c>
      <c r="Z936">
        <f t="shared" si="72"/>
        <v>57.18719999999999</v>
      </c>
      <c r="AA936">
        <f t="shared" si="73"/>
        <v>57.18719999999999</v>
      </c>
      <c r="AB936">
        <f t="shared" si="74"/>
        <v>838.36435199999983</v>
      </c>
    </row>
    <row r="937" spans="1:28" ht="25.5" x14ac:dyDescent="0.25">
      <c r="A937" s="7">
        <v>936</v>
      </c>
      <c r="B937" s="7" t="s">
        <v>15</v>
      </c>
      <c r="C937" s="7" t="s">
        <v>119</v>
      </c>
      <c r="D937" s="7" t="s">
        <v>1033</v>
      </c>
      <c r="E937" s="7"/>
      <c r="F937" s="8"/>
      <c r="G937" s="7" t="s">
        <v>1033</v>
      </c>
      <c r="H937" s="9">
        <v>36.391517</v>
      </c>
      <c r="I937" s="9">
        <v>9.6099890000000006</v>
      </c>
      <c r="J937" s="7" t="s">
        <v>121</v>
      </c>
      <c r="K937" s="7" t="s">
        <v>37</v>
      </c>
      <c r="L937" s="7"/>
      <c r="M937" s="10">
        <v>13.6</v>
      </c>
      <c r="N937" s="7" t="s">
        <v>62</v>
      </c>
      <c r="O937" s="7"/>
      <c r="P937" s="8" t="s">
        <v>39</v>
      </c>
      <c r="Q937">
        <v>6.88</v>
      </c>
      <c r="R937">
        <v>25.4</v>
      </c>
      <c r="S937" t="s">
        <v>58</v>
      </c>
      <c r="T937">
        <v>7</v>
      </c>
      <c r="U937">
        <f t="shared" si="70"/>
        <v>48.16</v>
      </c>
      <c r="V937">
        <v>0.99</v>
      </c>
      <c r="W937">
        <v>50</v>
      </c>
      <c r="X937">
        <v>0.35</v>
      </c>
      <c r="Y937">
        <f t="shared" si="71"/>
        <v>17.5</v>
      </c>
      <c r="Z937">
        <f t="shared" si="72"/>
        <v>47.678399999999996</v>
      </c>
      <c r="AA937">
        <f t="shared" si="73"/>
        <v>30.178399999999996</v>
      </c>
      <c r="AB937">
        <f t="shared" si="74"/>
        <v>410.42623999999995</v>
      </c>
    </row>
    <row r="938" spans="1:28" ht="25.5" x14ac:dyDescent="0.25">
      <c r="A938" s="7">
        <v>937</v>
      </c>
      <c r="B938" s="7" t="s">
        <v>15</v>
      </c>
      <c r="C938" s="7" t="s">
        <v>34</v>
      </c>
      <c r="D938" s="7" t="s">
        <v>1034</v>
      </c>
      <c r="E938" s="7"/>
      <c r="F938" s="8"/>
      <c r="G938" s="7" t="s">
        <v>1034</v>
      </c>
      <c r="H938" s="9">
        <v>36.889988000000002</v>
      </c>
      <c r="I938" s="9">
        <v>10.235181000000001</v>
      </c>
      <c r="J938" s="7" t="s">
        <v>36</v>
      </c>
      <c r="K938" s="7" t="s">
        <v>37</v>
      </c>
      <c r="L938" s="7"/>
      <c r="M938" s="10">
        <v>7.73</v>
      </c>
      <c r="N938" s="7" t="s">
        <v>66</v>
      </c>
      <c r="O938" s="7"/>
      <c r="P938" s="8" t="s">
        <v>39</v>
      </c>
      <c r="Q938">
        <v>4.58</v>
      </c>
      <c r="R938">
        <v>28.7</v>
      </c>
      <c r="S938" t="s">
        <v>58</v>
      </c>
      <c r="T938">
        <v>10</v>
      </c>
      <c r="U938">
        <f t="shared" si="70"/>
        <v>45.8</v>
      </c>
      <c r="V938">
        <v>0.72</v>
      </c>
      <c r="W938">
        <v>120</v>
      </c>
      <c r="X938">
        <v>0.35</v>
      </c>
      <c r="Y938">
        <f t="shared" si="71"/>
        <v>42</v>
      </c>
      <c r="Z938">
        <f t="shared" si="72"/>
        <v>32.975999999999999</v>
      </c>
      <c r="AA938">
        <f t="shared" si="73"/>
        <v>0</v>
      </c>
      <c r="AB938">
        <f t="shared" si="74"/>
        <v>0</v>
      </c>
    </row>
    <row r="939" spans="1:28" ht="25.5" x14ac:dyDescent="0.25">
      <c r="A939" s="7">
        <v>938</v>
      </c>
      <c r="B939" s="7" t="s">
        <v>15</v>
      </c>
      <c r="C939" s="7" t="s">
        <v>41</v>
      </c>
      <c r="D939" s="7" t="s">
        <v>1035</v>
      </c>
      <c r="E939" s="7"/>
      <c r="F939" s="8"/>
      <c r="G939" s="7" t="s">
        <v>1035</v>
      </c>
      <c r="H939" s="9">
        <v>36.671700000000001</v>
      </c>
      <c r="I939" s="9">
        <v>9.6077969999999997</v>
      </c>
      <c r="J939" s="7" t="s">
        <v>43</v>
      </c>
      <c r="K939" s="7" t="s">
        <v>37</v>
      </c>
      <c r="L939" s="7"/>
      <c r="M939" s="10">
        <v>7.35</v>
      </c>
      <c r="N939" s="7" t="s">
        <v>70</v>
      </c>
      <c r="O939" s="7"/>
      <c r="P939" s="8" t="s">
        <v>39</v>
      </c>
      <c r="Q939">
        <v>5.36</v>
      </c>
      <c r="R939">
        <v>14.7</v>
      </c>
      <c r="S939" t="s">
        <v>91</v>
      </c>
      <c r="T939">
        <v>9</v>
      </c>
      <c r="U939">
        <f t="shared" si="70"/>
        <v>48.24</v>
      </c>
      <c r="V939">
        <v>1.22</v>
      </c>
      <c r="W939">
        <v>0</v>
      </c>
      <c r="X939">
        <v>0</v>
      </c>
      <c r="Y939">
        <f t="shared" si="71"/>
        <v>0</v>
      </c>
      <c r="Z939">
        <f t="shared" si="72"/>
        <v>58.852800000000002</v>
      </c>
      <c r="AA939">
        <f t="shared" si="73"/>
        <v>58.852800000000002</v>
      </c>
      <c r="AB939">
        <f t="shared" si="74"/>
        <v>432.56808000000001</v>
      </c>
    </row>
    <row r="940" spans="1:28" ht="25.5" x14ac:dyDescent="0.25">
      <c r="A940" s="7">
        <v>939</v>
      </c>
      <c r="B940" s="7" t="s">
        <v>15</v>
      </c>
      <c r="C940" s="7" t="s">
        <v>45</v>
      </c>
      <c r="D940" s="7" t="s">
        <v>1036</v>
      </c>
      <c r="E940" s="7"/>
      <c r="F940" s="8"/>
      <c r="G940" s="7" t="s">
        <v>1036</v>
      </c>
      <c r="H940" s="9">
        <v>36.621014000000002</v>
      </c>
      <c r="I940" s="9">
        <v>10.311947</v>
      </c>
      <c r="J940" s="7" t="s">
        <v>47</v>
      </c>
      <c r="K940" s="7" t="s">
        <v>37</v>
      </c>
      <c r="L940" s="7"/>
      <c r="M940" s="10">
        <v>4.04</v>
      </c>
      <c r="N940" s="7" t="s">
        <v>74</v>
      </c>
      <c r="O940" s="7"/>
      <c r="P940" s="8" t="s">
        <v>39</v>
      </c>
      <c r="Q940">
        <v>2.5499999999999998</v>
      </c>
      <c r="R940">
        <v>44.8</v>
      </c>
      <c r="S940" t="s">
        <v>40</v>
      </c>
      <c r="T940">
        <v>10</v>
      </c>
      <c r="U940">
        <f t="shared" si="70"/>
        <v>25.5</v>
      </c>
      <c r="V940">
        <v>0.54</v>
      </c>
      <c r="W940">
        <v>0</v>
      </c>
      <c r="X940">
        <v>0</v>
      </c>
      <c r="Y940">
        <f t="shared" si="71"/>
        <v>0</v>
      </c>
      <c r="Z940">
        <f t="shared" si="72"/>
        <v>13.770000000000001</v>
      </c>
      <c r="AA940">
        <f t="shared" si="73"/>
        <v>13.770000000000001</v>
      </c>
      <c r="AB940">
        <f t="shared" si="74"/>
        <v>55.630800000000008</v>
      </c>
    </row>
    <row r="941" spans="1:28" ht="25.5" x14ac:dyDescent="0.25">
      <c r="A941" s="7">
        <v>940</v>
      </c>
      <c r="B941" s="7" t="s">
        <v>15</v>
      </c>
      <c r="C941" s="7" t="s">
        <v>49</v>
      </c>
      <c r="D941" s="7" t="s">
        <v>1037</v>
      </c>
      <c r="E941" s="7"/>
      <c r="F941" s="8"/>
      <c r="G941" s="7" t="s">
        <v>1037</v>
      </c>
      <c r="H941" s="9">
        <v>37.145209000000001</v>
      </c>
      <c r="I941" s="9">
        <v>9.7923770000000001</v>
      </c>
      <c r="J941" s="7" t="s">
        <v>51</v>
      </c>
      <c r="K941" s="7" t="s">
        <v>37</v>
      </c>
      <c r="L941" s="7"/>
      <c r="M941" s="10">
        <v>1.17</v>
      </c>
      <c r="N941" s="7" t="s">
        <v>78</v>
      </c>
      <c r="O941" s="7"/>
      <c r="P941" s="8" t="s">
        <v>39</v>
      </c>
      <c r="Q941">
        <v>2.14</v>
      </c>
      <c r="R941">
        <v>24.7</v>
      </c>
      <c r="S941" t="s">
        <v>53</v>
      </c>
      <c r="T941">
        <v>14</v>
      </c>
      <c r="U941">
        <f t="shared" si="70"/>
        <v>29.96</v>
      </c>
      <c r="V941">
        <v>1.1499999999999999</v>
      </c>
      <c r="W941">
        <v>0</v>
      </c>
      <c r="X941">
        <v>0</v>
      </c>
      <c r="Y941">
        <f t="shared" si="71"/>
        <v>0</v>
      </c>
      <c r="Z941">
        <f t="shared" si="72"/>
        <v>34.454000000000001</v>
      </c>
      <c r="AA941">
        <f t="shared" si="73"/>
        <v>34.454000000000001</v>
      </c>
      <c r="AB941">
        <f t="shared" si="74"/>
        <v>40.31118</v>
      </c>
    </row>
    <row r="942" spans="1:28" ht="25.5" x14ac:dyDescent="0.25">
      <c r="A942" s="7">
        <v>941</v>
      </c>
      <c r="B942" s="7" t="s">
        <v>15</v>
      </c>
      <c r="C942" s="7" t="s">
        <v>54</v>
      </c>
      <c r="D942" s="7" t="s">
        <v>1038</v>
      </c>
      <c r="E942" s="7"/>
      <c r="F942" s="8"/>
      <c r="G942" s="7" t="s">
        <v>1038</v>
      </c>
      <c r="H942" s="9">
        <v>33.631987000000002</v>
      </c>
      <c r="I942" s="9">
        <v>10.276021999999999</v>
      </c>
      <c r="J942" s="7" t="s">
        <v>56</v>
      </c>
      <c r="K942" s="7" t="s">
        <v>37</v>
      </c>
      <c r="L942" s="7"/>
      <c r="M942" s="10">
        <v>3.72</v>
      </c>
      <c r="N942" s="7" t="s">
        <v>38</v>
      </c>
      <c r="O942" s="7"/>
      <c r="P942" s="8" t="s">
        <v>39</v>
      </c>
      <c r="Q942">
        <v>5.97</v>
      </c>
      <c r="R942">
        <v>25.2</v>
      </c>
      <c r="S942" t="s">
        <v>58</v>
      </c>
      <c r="T942">
        <v>18</v>
      </c>
      <c r="U942">
        <f t="shared" si="70"/>
        <v>107.46</v>
      </c>
      <c r="V942">
        <v>0.9</v>
      </c>
      <c r="W942">
        <v>0</v>
      </c>
      <c r="X942">
        <v>0</v>
      </c>
      <c r="Y942">
        <f t="shared" si="71"/>
        <v>0</v>
      </c>
      <c r="Z942">
        <f t="shared" si="72"/>
        <v>96.713999999999999</v>
      </c>
      <c r="AA942">
        <f t="shared" si="73"/>
        <v>96.713999999999999</v>
      </c>
      <c r="AB942">
        <f t="shared" si="74"/>
        <v>359.77608000000004</v>
      </c>
    </row>
    <row r="943" spans="1:28" ht="25.5" x14ac:dyDescent="0.25">
      <c r="A943" s="7">
        <v>942</v>
      </c>
      <c r="B943" s="7" t="s">
        <v>15</v>
      </c>
      <c r="C943" s="7" t="s">
        <v>59</v>
      </c>
      <c r="D943" s="7" t="s">
        <v>1039</v>
      </c>
      <c r="E943" s="7"/>
      <c r="F943" s="8"/>
      <c r="G943" s="7" t="s">
        <v>1039</v>
      </c>
      <c r="H943" s="9">
        <v>34.346131999999997</v>
      </c>
      <c r="I943" s="9">
        <v>8.3962409999999998</v>
      </c>
      <c r="J943" s="7" t="s">
        <v>61</v>
      </c>
      <c r="K943" s="7" t="s">
        <v>37</v>
      </c>
      <c r="L943" s="7"/>
      <c r="M943" s="10">
        <v>19.920000000000002</v>
      </c>
      <c r="N943" s="7" t="s">
        <v>44</v>
      </c>
      <c r="O943" s="7"/>
      <c r="P943" s="8" t="s">
        <v>39</v>
      </c>
      <c r="Q943">
        <v>4.01</v>
      </c>
      <c r="R943">
        <v>42.6</v>
      </c>
      <c r="S943" t="s">
        <v>40</v>
      </c>
      <c r="T943">
        <v>18</v>
      </c>
      <c r="U943">
        <f t="shared" si="70"/>
        <v>72.179999999999993</v>
      </c>
      <c r="V943">
        <v>0.6</v>
      </c>
      <c r="W943">
        <v>50</v>
      </c>
      <c r="X943">
        <v>0.35</v>
      </c>
      <c r="Y943">
        <f t="shared" si="71"/>
        <v>17.5</v>
      </c>
      <c r="Z943">
        <f t="shared" si="72"/>
        <v>43.307999999999993</v>
      </c>
      <c r="AA943">
        <f t="shared" si="73"/>
        <v>25.807999999999993</v>
      </c>
      <c r="AB943">
        <f t="shared" si="74"/>
        <v>514.09535999999991</v>
      </c>
    </row>
    <row r="944" spans="1:28" ht="25.5" x14ac:dyDescent="0.25">
      <c r="A944" s="7">
        <v>943</v>
      </c>
      <c r="B944" s="7" t="s">
        <v>15</v>
      </c>
      <c r="C944" s="7" t="s">
        <v>63</v>
      </c>
      <c r="D944" s="7" t="s">
        <v>1040</v>
      </c>
      <c r="E944" s="7"/>
      <c r="F944" s="8"/>
      <c r="G944" s="7" t="s">
        <v>1040</v>
      </c>
      <c r="H944" s="9">
        <v>36.925083999999998</v>
      </c>
      <c r="I944" s="9">
        <v>8.763128</v>
      </c>
      <c r="J944" s="7" t="s">
        <v>65</v>
      </c>
      <c r="K944" s="7" t="s">
        <v>37</v>
      </c>
      <c r="L944" s="7"/>
      <c r="M944" s="10">
        <v>6.49</v>
      </c>
      <c r="N944" s="7" t="s">
        <v>48</v>
      </c>
      <c r="O944" s="7"/>
      <c r="P944" s="8" t="s">
        <v>39</v>
      </c>
      <c r="Q944">
        <v>5.66</v>
      </c>
      <c r="R944">
        <v>32</v>
      </c>
      <c r="S944" t="s">
        <v>58</v>
      </c>
      <c r="T944">
        <v>16</v>
      </c>
      <c r="U944">
        <f t="shared" si="70"/>
        <v>90.56</v>
      </c>
      <c r="V944">
        <v>0.81</v>
      </c>
      <c r="W944">
        <v>0</v>
      </c>
      <c r="X944">
        <v>0</v>
      </c>
      <c r="Y944">
        <f t="shared" si="71"/>
        <v>0</v>
      </c>
      <c r="Z944">
        <f t="shared" si="72"/>
        <v>73.3536</v>
      </c>
      <c r="AA944">
        <f t="shared" si="73"/>
        <v>73.3536</v>
      </c>
      <c r="AB944">
        <f t="shared" si="74"/>
        <v>476.064864</v>
      </c>
    </row>
    <row r="945" spans="1:28" ht="25.5" x14ac:dyDescent="0.25">
      <c r="A945" s="7">
        <v>944</v>
      </c>
      <c r="B945" s="7" t="s">
        <v>15</v>
      </c>
      <c r="C945" s="7" t="s">
        <v>67</v>
      </c>
      <c r="D945" s="7" t="s">
        <v>1041</v>
      </c>
      <c r="E945" s="7"/>
      <c r="F945" s="8"/>
      <c r="G945" s="7" t="s">
        <v>1041</v>
      </c>
      <c r="H945" s="9">
        <v>35.599623999999999</v>
      </c>
      <c r="I945" s="9">
        <v>9.9412420000000008</v>
      </c>
      <c r="J945" s="7" t="s">
        <v>69</v>
      </c>
      <c r="K945" s="7" t="s">
        <v>37</v>
      </c>
      <c r="L945" s="7"/>
      <c r="M945" s="10">
        <v>23.74</v>
      </c>
      <c r="N945" s="7" t="s">
        <v>52</v>
      </c>
      <c r="O945" s="7"/>
      <c r="P945" s="8" t="s">
        <v>39</v>
      </c>
      <c r="Q945">
        <v>7.76</v>
      </c>
      <c r="R945">
        <v>15</v>
      </c>
      <c r="S945" t="s">
        <v>53</v>
      </c>
      <c r="T945">
        <v>12</v>
      </c>
      <c r="U945">
        <f t="shared" si="70"/>
        <v>93.12</v>
      </c>
      <c r="V945">
        <v>1.26</v>
      </c>
      <c r="W945">
        <v>0</v>
      </c>
      <c r="X945">
        <v>0</v>
      </c>
      <c r="Y945">
        <f t="shared" si="71"/>
        <v>0</v>
      </c>
      <c r="Z945">
        <f t="shared" si="72"/>
        <v>117.33120000000001</v>
      </c>
      <c r="AA945">
        <f t="shared" si="73"/>
        <v>117.33120000000001</v>
      </c>
      <c r="AB945">
        <f t="shared" si="74"/>
        <v>2785.4426880000001</v>
      </c>
    </row>
    <row r="946" spans="1:28" ht="25.5" x14ac:dyDescent="0.25">
      <c r="A946" s="7">
        <v>945</v>
      </c>
      <c r="B946" s="7" t="s">
        <v>15</v>
      </c>
      <c r="C946" s="7" t="s">
        <v>71</v>
      </c>
      <c r="D946" s="7" t="s">
        <v>1042</v>
      </c>
      <c r="E946" s="7"/>
      <c r="F946" s="8"/>
      <c r="G946" s="7" t="s">
        <v>1042</v>
      </c>
      <c r="H946" s="9">
        <v>35.233829</v>
      </c>
      <c r="I946" s="9">
        <v>9.1201720000000002</v>
      </c>
      <c r="J946" s="7" t="s">
        <v>73</v>
      </c>
      <c r="K946" s="7" t="s">
        <v>37</v>
      </c>
      <c r="L946" s="7"/>
      <c r="M946" s="10">
        <v>21.73</v>
      </c>
      <c r="N946" s="7" t="s">
        <v>57</v>
      </c>
      <c r="O946" s="7"/>
      <c r="P946" s="8" t="s">
        <v>39</v>
      </c>
      <c r="Q946">
        <v>3.51</v>
      </c>
      <c r="R946">
        <v>28.6</v>
      </c>
      <c r="S946" t="s">
        <v>58</v>
      </c>
      <c r="T946">
        <v>8</v>
      </c>
      <c r="U946">
        <f t="shared" si="70"/>
        <v>28.08</v>
      </c>
      <c r="V946">
        <v>1.08</v>
      </c>
      <c r="W946">
        <v>0</v>
      </c>
      <c r="X946">
        <v>0</v>
      </c>
      <c r="Y946">
        <f t="shared" si="71"/>
        <v>0</v>
      </c>
      <c r="Z946">
        <f t="shared" si="72"/>
        <v>30.3264</v>
      </c>
      <c r="AA946">
        <f t="shared" si="73"/>
        <v>30.3264</v>
      </c>
      <c r="AB946">
        <f t="shared" si="74"/>
        <v>658.99267199999997</v>
      </c>
    </row>
    <row r="947" spans="1:28" ht="25.5" x14ac:dyDescent="0.25">
      <c r="A947" s="7">
        <v>946</v>
      </c>
      <c r="B947" s="7" t="s">
        <v>15</v>
      </c>
      <c r="C947" s="7" t="s">
        <v>75</v>
      </c>
      <c r="D947" s="7" t="s">
        <v>1043</v>
      </c>
      <c r="E947" s="7"/>
      <c r="F947" s="8"/>
      <c r="G947" s="7" t="s">
        <v>1043</v>
      </c>
      <c r="H947" s="9">
        <v>33.455002</v>
      </c>
      <c r="I947" s="9">
        <v>9.0317910000000001</v>
      </c>
      <c r="J947" s="7" t="s">
        <v>77</v>
      </c>
      <c r="K947" s="7" t="s">
        <v>37</v>
      </c>
      <c r="L947" s="7"/>
      <c r="M947" s="10">
        <v>3.57</v>
      </c>
      <c r="N947" s="7" t="s">
        <v>62</v>
      </c>
      <c r="O947" s="7"/>
      <c r="P947" s="8" t="s">
        <v>39</v>
      </c>
      <c r="Q947">
        <v>7.37</v>
      </c>
      <c r="R947">
        <v>19.100000000000001</v>
      </c>
      <c r="S947" t="s">
        <v>53</v>
      </c>
      <c r="T947">
        <v>7</v>
      </c>
      <c r="U947">
        <f t="shared" si="70"/>
        <v>51.59</v>
      </c>
      <c r="V947">
        <v>1.26</v>
      </c>
      <c r="W947">
        <v>160</v>
      </c>
      <c r="X947">
        <v>0.35</v>
      </c>
      <c r="Y947">
        <f t="shared" si="71"/>
        <v>56</v>
      </c>
      <c r="Z947">
        <f t="shared" si="72"/>
        <v>65.003399999999999</v>
      </c>
      <c r="AA947">
        <f t="shared" si="73"/>
        <v>9.0033999999999992</v>
      </c>
      <c r="AB947">
        <f t="shared" si="74"/>
        <v>32.142137999999996</v>
      </c>
    </row>
    <row r="948" spans="1:28" ht="25.5" x14ac:dyDescent="0.25">
      <c r="A948" s="7">
        <v>947</v>
      </c>
      <c r="B948" s="7" t="s">
        <v>15</v>
      </c>
      <c r="C948" s="7" t="s">
        <v>79</v>
      </c>
      <c r="D948" s="7" t="s">
        <v>1044</v>
      </c>
      <c r="E948" s="7"/>
      <c r="F948" s="8"/>
      <c r="G948" s="7" t="s">
        <v>1044</v>
      </c>
      <c r="H948" s="9">
        <v>35.936940999999997</v>
      </c>
      <c r="I948" s="9">
        <v>8.8319770000000002</v>
      </c>
      <c r="J948" s="7" t="s">
        <v>81</v>
      </c>
      <c r="K948" s="7" t="s">
        <v>37</v>
      </c>
      <c r="L948" s="7"/>
      <c r="M948" s="10">
        <v>0.94</v>
      </c>
      <c r="N948" s="7" t="s">
        <v>66</v>
      </c>
      <c r="O948" s="7"/>
      <c r="P948" s="8" t="s">
        <v>39</v>
      </c>
      <c r="Q948">
        <v>5.2</v>
      </c>
      <c r="R948">
        <v>38.200000000000003</v>
      </c>
      <c r="S948" t="s">
        <v>40</v>
      </c>
      <c r="T948">
        <v>10</v>
      </c>
      <c r="U948">
        <f t="shared" si="70"/>
        <v>52</v>
      </c>
      <c r="V948">
        <v>0.48</v>
      </c>
      <c r="W948">
        <v>120</v>
      </c>
      <c r="X948">
        <v>0.35</v>
      </c>
      <c r="Y948">
        <f t="shared" si="71"/>
        <v>42</v>
      </c>
      <c r="Z948">
        <f t="shared" si="72"/>
        <v>24.96</v>
      </c>
      <c r="AA948">
        <f t="shared" si="73"/>
        <v>0</v>
      </c>
      <c r="AB948">
        <f t="shared" si="74"/>
        <v>0</v>
      </c>
    </row>
    <row r="949" spans="1:28" ht="25.5" x14ac:dyDescent="0.25">
      <c r="A949" s="7">
        <v>948</v>
      </c>
      <c r="B949" s="7" t="s">
        <v>15</v>
      </c>
      <c r="C949" s="7" t="s">
        <v>82</v>
      </c>
      <c r="D949" s="7" t="s">
        <v>1045</v>
      </c>
      <c r="E949" s="7"/>
      <c r="F949" s="8"/>
      <c r="G949" s="7" t="s">
        <v>1045</v>
      </c>
      <c r="H949" s="9">
        <v>35.239041999999998</v>
      </c>
      <c r="I949" s="9">
        <v>11.108931999999999</v>
      </c>
      <c r="J949" s="7" t="s">
        <v>84</v>
      </c>
      <c r="K949" s="7" t="s">
        <v>37</v>
      </c>
      <c r="L949" s="7"/>
      <c r="M949" s="10">
        <v>22.8</v>
      </c>
      <c r="N949" s="7" t="s">
        <v>70</v>
      </c>
      <c r="O949" s="7"/>
      <c r="P949" s="8" t="s">
        <v>39</v>
      </c>
      <c r="Q949">
        <v>4.71</v>
      </c>
      <c r="R949">
        <v>30.9</v>
      </c>
      <c r="S949" t="s">
        <v>58</v>
      </c>
      <c r="T949">
        <v>9</v>
      </c>
      <c r="U949">
        <f t="shared" si="70"/>
        <v>42.39</v>
      </c>
      <c r="V949">
        <v>0.81</v>
      </c>
      <c r="W949">
        <v>120</v>
      </c>
      <c r="X949">
        <v>0.35</v>
      </c>
      <c r="Y949">
        <f t="shared" si="71"/>
        <v>42</v>
      </c>
      <c r="Z949">
        <f t="shared" si="72"/>
        <v>34.335900000000002</v>
      </c>
      <c r="AA949">
        <f t="shared" si="73"/>
        <v>0</v>
      </c>
      <c r="AB949">
        <f t="shared" si="74"/>
        <v>0</v>
      </c>
    </row>
    <row r="950" spans="1:28" ht="25.5" x14ac:dyDescent="0.25">
      <c r="A950" s="7">
        <v>949</v>
      </c>
      <c r="B950" s="7" t="s">
        <v>15</v>
      </c>
      <c r="C950" s="7" t="s">
        <v>85</v>
      </c>
      <c r="D950" s="7" t="s">
        <v>1046</v>
      </c>
      <c r="E950" s="7"/>
      <c r="F950" s="8"/>
      <c r="G950" s="7" t="s">
        <v>1046</v>
      </c>
      <c r="H950" s="9">
        <v>36.853138999999999</v>
      </c>
      <c r="I950" s="9">
        <v>9.8283710000000006</v>
      </c>
      <c r="J950" s="7" t="s">
        <v>87</v>
      </c>
      <c r="K950" s="7" t="s">
        <v>37</v>
      </c>
      <c r="L950" s="7"/>
      <c r="M950" s="10">
        <v>8.18</v>
      </c>
      <c r="N950" s="7" t="s">
        <v>74</v>
      </c>
      <c r="O950" s="7"/>
      <c r="P950" s="8" t="s">
        <v>39</v>
      </c>
      <c r="Q950">
        <v>3.49</v>
      </c>
      <c r="R950">
        <v>44</v>
      </c>
      <c r="S950" t="s">
        <v>40</v>
      </c>
      <c r="T950">
        <v>10</v>
      </c>
      <c r="U950">
        <f t="shared" si="70"/>
        <v>34.900000000000006</v>
      </c>
      <c r="V950">
        <v>0.54</v>
      </c>
      <c r="W950">
        <v>0</v>
      </c>
      <c r="X950">
        <v>0</v>
      </c>
      <c r="Y950">
        <f t="shared" si="71"/>
        <v>0</v>
      </c>
      <c r="Z950">
        <f t="shared" si="72"/>
        <v>18.846000000000004</v>
      </c>
      <c r="AA950">
        <f t="shared" si="73"/>
        <v>18.846000000000004</v>
      </c>
      <c r="AB950">
        <f t="shared" si="74"/>
        <v>154.16028000000003</v>
      </c>
    </row>
    <row r="951" spans="1:28" ht="25.5" x14ac:dyDescent="0.25">
      <c r="A951" s="7">
        <v>950</v>
      </c>
      <c r="B951" s="7" t="s">
        <v>15</v>
      </c>
      <c r="C951" s="7" t="s">
        <v>88</v>
      </c>
      <c r="D951" s="7" t="s">
        <v>1047</v>
      </c>
      <c r="E951" s="7"/>
      <c r="F951" s="8"/>
      <c r="G951" s="7" t="s">
        <v>1047</v>
      </c>
      <c r="H951" s="9">
        <v>33.803744999999999</v>
      </c>
      <c r="I951" s="9">
        <v>10.980276</v>
      </c>
      <c r="J951" s="7" t="s">
        <v>90</v>
      </c>
      <c r="K951" s="7" t="s">
        <v>37</v>
      </c>
      <c r="L951" s="7"/>
      <c r="M951" s="10">
        <v>19.989999999999998</v>
      </c>
      <c r="N951" s="7" t="s">
        <v>78</v>
      </c>
      <c r="O951" s="7"/>
      <c r="P951" s="8" t="s">
        <v>39</v>
      </c>
      <c r="Q951">
        <v>5.24</v>
      </c>
      <c r="R951">
        <v>27.3</v>
      </c>
      <c r="S951" t="s">
        <v>58</v>
      </c>
      <c r="T951">
        <v>14</v>
      </c>
      <c r="U951">
        <f t="shared" si="70"/>
        <v>73.36</v>
      </c>
      <c r="V951">
        <v>0.9</v>
      </c>
      <c r="W951">
        <v>0</v>
      </c>
      <c r="X951">
        <v>0</v>
      </c>
      <c r="Y951">
        <f t="shared" si="71"/>
        <v>0</v>
      </c>
      <c r="Z951">
        <f t="shared" si="72"/>
        <v>66.024000000000001</v>
      </c>
      <c r="AA951">
        <f t="shared" si="73"/>
        <v>66.024000000000001</v>
      </c>
      <c r="AB951">
        <f t="shared" si="74"/>
        <v>1319.8197599999999</v>
      </c>
    </row>
    <row r="952" spans="1:28" ht="25.5" x14ac:dyDescent="0.25">
      <c r="A952" s="7">
        <v>951</v>
      </c>
      <c r="B952" s="7" t="s">
        <v>15</v>
      </c>
      <c r="C952" s="7" t="s">
        <v>92</v>
      </c>
      <c r="D952" s="7" t="s">
        <v>1048</v>
      </c>
      <c r="E952" s="7"/>
      <c r="F952" s="8"/>
      <c r="G952" s="7" t="s">
        <v>1048</v>
      </c>
      <c r="H952" s="9">
        <v>35.640954000000001</v>
      </c>
      <c r="I952" s="9">
        <v>10.770892999999999</v>
      </c>
      <c r="J952" s="7" t="s">
        <v>94</v>
      </c>
      <c r="K952" s="7" t="s">
        <v>37</v>
      </c>
      <c r="L952" s="7"/>
      <c r="M952" s="10">
        <v>16.18</v>
      </c>
      <c r="N952" s="7" t="s">
        <v>38</v>
      </c>
      <c r="O952" s="7"/>
      <c r="P952" s="8" t="s">
        <v>39</v>
      </c>
      <c r="Q952">
        <v>2.06</v>
      </c>
      <c r="R952">
        <v>21</v>
      </c>
      <c r="S952" t="s">
        <v>53</v>
      </c>
      <c r="T952">
        <v>18</v>
      </c>
      <c r="U952">
        <f t="shared" si="70"/>
        <v>37.08</v>
      </c>
      <c r="V952">
        <v>1.1499999999999999</v>
      </c>
      <c r="W952">
        <v>120</v>
      </c>
      <c r="X952">
        <v>0.35</v>
      </c>
      <c r="Y952">
        <f t="shared" si="71"/>
        <v>42</v>
      </c>
      <c r="Z952">
        <f t="shared" si="72"/>
        <v>42.641999999999996</v>
      </c>
      <c r="AA952">
        <f t="shared" si="73"/>
        <v>0.64199999999999591</v>
      </c>
      <c r="AB952">
        <f t="shared" si="74"/>
        <v>10.387559999999933</v>
      </c>
    </row>
    <row r="953" spans="1:28" ht="25.5" x14ac:dyDescent="0.25">
      <c r="A953" s="7">
        <v>952</v>
      </c>
      <c r="B953" s="7" t="s">
        <v>15</v>
      </c>
      <c r="C953" s="7" t="s">
        <v>95</v>
      </c>
      <c r="D953" s="7" t="s">
        <v>1049</v>
      </c>
      <c r="E953" s="7"/>
      <c r="F953" s="8"/>
      <c r="G953" s="7" t="s">
        <v>1049</v>
      </c>
      <c r="H953" s="9">
        <v>36.586224999999999</v>
      </c>
      <c r="I953" s="9">
        <v>10.873661999999999</v>
      </c>
      <c r="J953" s="7" t="s">
        <v>97</v>
      </c>
      <c r="K953" s="7" t="s">
        <v>37</v>
      </c>
      <c r="L953" s="7"/>
      <c r="M953" s="10">
        <v>14.99</v>
      </c>
      <c r="N953" s="7" t="s">
        <v>44</v>
      </c>
      <c r="O953" s="7"/>
      <c r="P953" s="8" t="s">
        <v>39</v>
      </c>
      <c r="Q953">
        <v>6.16</v>
      </c>
      <c r="R953">
        <v>16.3</v>
      </c>
      <c r="S953" t="s">
        <v>53</v>
      </c>
      <c r="T953">
        <v>18</v>
      </c>
      <c r="U953">
        <f t="shared" si="70"/>
        <v>110.88</v>
      </c>
      <c r="V953">
        <v>1.1499999999999999</v>
      </c>
      <c r="W953">
        <v>160</v>
      </c>
      <c r="X953">
        <v>0.35</v>
      </c>
      <c r="Y953">
        <f t="shared" si="71"/>
        <v>56</v>
      </c>
      <c r="Z953">
        <f t="shared" si="72"/>
        <v>127.51199999999999</v>
      </c>
      <c r="AA953">
        <f t="shared" si="73"/>
        <v>71.511999999999986</v>
      </c>
      <c r="AB953">
        <f t="shared" si="74"/>
        <v>1071.9648799999998</v>
      </c>
    </row>
    <row r="954" spans="1:28" ht="25.5" x14ac:dyDescent="0.25">
      <c r="A954" s="7">
        <v>953</v>
      </c>
      <c r="B954" s="7" t="s">
        <v>15</v>
      </c>
      <c r="C954" s="7" t="s">
        <v>98</v>
      </c>
      <c r="D954" s="7" t="s">
        <v>1050</v>
      </c>
      <c r="E954" s="7"/>
      <c r="F954" s="8"/>
      <c r="G954" s="7" t="s">
        <v>1050</v>
      </c>
      <c r="H954" s="9">
        <v>34.767375999999999</v>
      </c>
      <c r="I954" s="9">
        <v>10.511692999999999</v>
      </c>
      <c r="J954" s="7" t="s">
        <v>100</v>
      </c>
      <c r="K954" s="7" t="s">
        <v>37</v>
      </c>
      <c r="L954" s="7"/>
      <c r="M954" s="10">
        <v>15.25</v>
      </c>
      <c r="N954" s="7" t="s">
        <v>48</v>
      </c>
      <c r="O954" s="7"/>
      <c r="P954" s="8" t="s">
        <v>39</v>
      </c>
      <c r="Q954">
        <v>7.04</v>
      </c>
      <c r="R954">
        <v>20.100000000000001</v>
      </c>
      <c r="S954" t="s">
        <v>53</v>
      </c>
      <c r="T954">
        <v>16</v>
      </c>
      <c r="U954">
        <f t="shared" si="70"/>
        <v>112.64</v>
      </c>
      <c r="V954">
        <v>1.03</v>
      </c>
      <c r="W954">
        <v>0</v>
      </c>
      <c r="X954">
        <v>0</v>
      </c>
      <c r="Y954">
        <f t="shared" si="71"/>
        <v>0</v>
      </c>
      <c r="Z954">
        <f t="shared" si="72"/>
        <v>116.0192</v>
      </c>
      <c r="AA954">
        <f t="shared" si="73"/>
        <v>116.0192</v>
      </c>
      <c r="AB954">
        <f t="shared" si="74"/>
        <v>1769.2927999999999</v>
      </c>
    </row>
    <row r="955" spans="1:28" ht="25.5" x14ac:dyDescent="0.25">
      <c r="A955" s="7">
        <v>954</v>
      </c>
      <c r="B955" s="7" t="s">
        <v>15</v>
      </c>
      <c r="C955" s="7" t="s">
        <v>101</v>
      </c>
      <c r="D955" s="7" t="s">
        <v>1051</v>
      </c>
      <c r="E955" s="7"/>
      <c r="F955" s="8"/>
      <c r="G955" s="7" t="s">
        <v>1051</v>
      </c>
      <c r="H955" s="9">
        <v>34.932527</v>
      </c>
      <c r="I955" s="9">
        <v>9.8051820000000003</v>
      </c>
      <c r="J955" s="7" t="s">
        <v>103</v>
      </c>
      <c r="K955" s="7" t="s">
        <v>37</v>
      </c>
      <c r="L955" s="7"/>
      <c r="M955" s="10">
        <v>11.22</v>
      </c>
      <c r="N955" s="7" t="s">
        <v>52</v>
      </c>
      <c r="O955" s="7"/>
      <c r="P955" s="8" t="s">
        <v>39</v>
      </c>
      <c r="Q955">
        <v>3.38</v>
      </c>
      <c r="R955">
        <v>36.1</v>
      </c>
      <c r="S955" t="s">
        <v>40</v>
      </c>
      <c r="T955">
        <v>12</v>
      </c>
      <c r="U955">
        <f t="shared" si="70"/>
        <v>40.56</v>
      </c>
      <c r="V955">
        <v>0.66</v>
      </c>
      <c r="W955">
        <v>50</v>
      </c>
      <c r="X955">
        <v>0.35</v>
      </c>
      <c r="Y955">
        <f t="shared" si="71"/>
        <v>17.5</v>
      </c>
      <c r="Z955">
        <f t="shared" si="72"/>
        <v>26.769600000000004</v>
      </c>
      <c r="AA955">
        <f t="shared" si="73"/>
        <v>9.2696000000000041</v>
      </c>
      <c r="AB955">
        <f t="shared" si="74"/>
        <v>104.00491200000005</v>
      </c>
    </row>
    <row r="956" spans="1:28" ht="25.5" x14ac:dyDescent="0.25">
      <c r="A956" s="7">
        <v>955</v>
      </c>
      <c r="B956" s="7" t="s">
        <v>15</v>
      </c>
      <c r="C956" s="7" t="s">
        <v>104</v>
      </c>
      <c r="D956" s="7" t="s">
        <v>1052</v>
      </c>
      <c r="E956" s="7"/>
      <c r="F956" s="8"/>
      <c r="G956" s="7" t="s">
        <v>1052</v>
      </c>
      <c r="H956" s="9">
        <v>35.834950999999997</v>
      </c>
      <c r="I956" s="9">
        <v>9.2053750000000001</v>
      </c>
      <c r="J956" s="7" t="s">
        <v>106</v>
      </c>
      <c r="K956" s="7" t="s">
        <v>37</v>
      </c>
      <c r="L956" s="7"/>
      <c r="M956" s="10">
        <v>24.65</v>
      </c>
      <c r="N956" s="7" t="s">
        <v>57</v>
      </c>
      <c r="O956" s="7"/>
      <c r="P956" s="8" t="s">
        <v>39</v>
      </c>
      <c r="Q956">
        <v>6.22</v>
      </c>
      <c r="R956">
        <v>40.299999999999997</v>
      </c>
      <c r="S956" t="s">
        <v>40</v>
      </c>
      <c r="T956">
        <v>8</v>
      </c>
      <c r="U956">
        <f t="shared" si="70"/>
        <v>49.76</v>
      </c>
      <c r="V956">
        <v>0.72</v>
      </c>
      <c r="W956">
        <v>120</v>
      </c>
      <c r="X956">
        <v>0.35</v>
      </c>
      <c r="Y956">
        <f t="shared" si="71"/>
        <v>42</v>
      </c>
      <c r="Z956">
        <f t="shared" si="72"/>
        <v>35.827199999999998</v>
      </c>
      <c r="AA956">
        <f t="shared" si="73"/>
        <v>0</v>
      </c>
      <c r="AB956">
        <f t="shared" si="74"/>
        <v>0</v>
      </c>
    </row>
    <row r="957" spans="1:28" ht="25.5" x14ac:dyDescent="0.25">
      <c r="A957" s="7">
        <v>956</v>
      </c>
      <c r="B957" s="7" t="s">
        <v>15</v>
      </c>
      <c r="C957" s="7" t="s">
        <v>107</v>
      </c>
      <c r="D957" s="7" t="s">
        <v>1053</v>
      </c>
      <c r="E957" s="7"/>
      <c r="F957" s="8"/>
      <c r="G957" s="7" t="s">
        <v>1053</v>
      </c>
      <c r="H957" s="9">
        <v>36.157947999999998</v>
      </c>
      <c r="I957" s="9">
        <v>10.388686</v>
      </c>
      <c r="J957" s="7" t="s">
        <v>109</v>
      </c>
      <c r="K957" s="7" t="s">
        <v>37</v>
      </c>
      <c r="L957" s="7"/>
      <c r="M957" s="10">
        <v>17.13</v>
      </c>
      <c r="N957" s="7" t="s">
        <v>62</v>
      </c>
      <c r="O957" s="7"/>
      <c r="P957" s="8" t="s">
        <v>39</v>
      </c>
      <c r="Q957">
        <v>5.57</v>
      </c>
      <c r="R957">
        <v>31</v>
      </c>
      <c r="S957" t="s">
        <v>58</v>
      </c>
      <c r="T957">
        <v>7</v>
      </c>
      <c r="U957">
        <f t="shared" si="70"/>
        <v>38.99</v>
      </c>
      <c r="V957">
        <v>0.99</v>
      </c>
      <c r="W957">
        <v>0</v>
      </c>
      <c r="X957">
        <v>0</v>
      </c>
      <c r="Y957">
        <f t="shared" si="71"/>
        <v>0</v>
      </c>
      <c r="Z957">
        <f t="shared" si="72"/>
        <v>38.600100000000005</v>
      </c>
      <c r="AA957">
        <f t="shared" si="73"/>
        <v>38.600100000000005</v>
      </c>
      <c r="AB957">
        <f t="shared" si="74"/>
        <v>661.21971300000007</v>
      </c>
    </row>
    <row r="958" spans="1:28" ht="25.5" x14ac:dyDescent="0.25">
      <c r="A958" s="7">
        <v>957</v>
      </c>
      <c r="B958" s="7" t="s">
        <v>15</v>
      </c>
      <c r="C958" s="7" t="s">
        <v>110</v>
      </c>
      <c r="D958" s="7" t="s">
        <v>1054</v>
      </c>
      <c r="E958" s="7"/>
      <c r="F958" s="8"/>
      <c r="G958" s="7" t="s">
        <v>1054</v>
      </c>
      <c r="H958" s="9">
        <v>33.153390000000002</v>
      </c>
      <c r="I958" s="9">
        <v>10.222875</v>
      </c>
      <c r="J958" s="7" t="s">
        <v>112</v>
      </c>
      <c r="K958" s="7" t="s">
        <v>37</v>
      </c>
      <c r="L958" s="7"/>
      <c r="M958" s="10">
        <v>20.96</v>
      </c>
      <c r="N958" s="7" t="s">
        <v>66</v>
      </c>
      <c r="O958" s="7"/>
      <c r="P958" s="8" t="s">
        <v>39</v>
      </c>
      <c r="Q958">
        <v>3.19</v>
      </c>
      <c r="R958">
        <v>22.3</v>
      </c>
      <c r="S958" t="s">
        <v>53</v>
      </c>
      <c r="T958">
        <v>10</v>
      </c>
      <c r="U958">
        <f t="shared" si="70"/>
        <v>31.9</v>
      </c>
      <c r="V958">
        <v>0.92</v>
      </c>
      <c r="W958">
        <v>50</v>
      </c>
      <c r="X958">
        <v>0.35</v>
      </c>
      <c r="Y958">
        <f t="shared" si="71"/>
        <v>17.5</v>
      </c>
      <c r="Z958">
        <f t="shared" si="72"/>
        <v>29.347999999999999</v>
      </c>
      <c r="AA958">
        <f t="shared" si="73"/>
        <v>11.847999999999999</v>
      </c>
      <c r="AB958">
        <f t="shared" si="74"/>
        <v>248.33408</v>
      </c>
    </row>
    <row r="959" spans="1:28" ht="25.5" x14ac:dyDescent="0.25">
      <c r="A959" s="7">
        <v>958</v>
      </c>
      <c r="B959" s="7" t="s">
        <v>15</v>
      </c>
      <c r="C959" s="7" t="s">
        <v>113</v>
      </c>
      <c r="D959" s="7" t="s">
        <v>1055</v>
      </c>
      <c r="E959" s="7"/>
      <c r="F959" s="8"/>
      <c r="G959" s="7" t="s">
        <v>1055</v>
      </c>
      <c r="H959" s="9">
        <v>33.853402000000003</v>
      </c>
      <c r="I959" s="9">
        <v>7.89337</v>
      </c>
      <c r="J959" s="7" t="s">
        <v>115</v>
      </c>
      <c r="K959" s="7" t="s">
        <v>37</v>
      </c>
      <c r="L959" s="7"/>
      <c r="M959" s="10">
        <v>1.0900000000000001</v>
      </c>
      <c r="N959" s="7" t="s">
        <v>70</v>
      </c>
      <c r="O959" s="7"/>
      <c r="P959" s="8" t="s">
        <v>39</v>
      </c>
      <c r="Q959">
        <v>4.78</v>
      </c>
      <c r="R959">
        <v>17.399999999999999</v>
      </c>
      <c r="S959" t="s">
        <v>53</v>
      </c>
      <c r="T959">
        <v>9</v>
      </c>
      <c r="U959">
        <f t="shared" si="70"/>
        <v>43.02</v>
      </c>
      <c r="V959">
        <v>1.03</v>
      </c>
      <c r="W959">
        <v>0</v>
      </c>
      <c r="X959">
        <v>0</v>
      </c>
      <c r="Y959">
        <f t="shared" si="71"/>
        <v>0</v>
      </c>
      <c r="Z959">
        <f t="shared" si="72"/>
        <v>44.310600000000001</v>
      </c>
      <c r="AA959">
        <f t="shared" si="73"/>
        <v>44.310600000000001</v>
      </c>
      <c r="AB959">
        <f t="shared" si="74"/>
        <v>48.298554000000003</v>
      </c>
    </row>
    <row r="960" spans="1:28" ht="25.5" x14ac:dyDescent="0.25">
      <c r="A960" s="7">
        <v>959</v>
      </c>
      <c r="B960" s="7" t="s">
        <v>15</v>
      </c>
      <c r="C960" s="7" t="s">
        <v>116</v>
      </c>
      <c r="D960" s="7" t="s">
        <v>1056</v>
      </c>
      <c r="E960" s="7"/>
      <c r="F960" s="8"/>
      <c r="G960" s="7" t="s">
        <v>1056</v>
      </c>
      <c r="H960" s="9">
        <v>36.864628000000003</v>
      </c>
      <c r="I960" s="9">
        <v>10.345688000000001</v>
      </c>
      <c r="J960" s="7" t="s">
        <v>118</v>
      </c>
      <c r="K960" s="7" t="s">
        <v>37</v>
      </c>
      <c r="L960" s="7"/>
      <c r="M960" s="10">
        <v>20.85</v>
      </c>
      <c r="N960" s="7" t="s">
        <v>74</v>
      </c>
      <c r="O960" s="7"/>
      <c r="P960" s="8" t="s">
        <v>39</v>
      </c>
      <c r="Q960">
        <v>2.5299999999999998</v>
      </c>
      <c r="R960">
        <v>40.6</v>
      </c>
      <c r="S960" t="s">
        <v>40</v>
      </c>
      <c r="T960">
        <v>10</v>
      </c>
      <c r="U960">
        <f t="shared" si="70"/>
        <v>25.299999999999997</v>
      </c>
      <c r="V960">
        <v>0.54</v>
      </c>
      <c r="W960">
        <v>0</v>
      </c>
      <c r="X960">
        <v>0</v>
      </c>
      <c r="Y960">
        <f t="shared" si="71"/>
        <v>0</v>
      </c>
      <c r="Z960">
        <f t="shared" si="72"/>
        <v>13.661999999999999</v>
      </c>
      <c r="AA960">
        <f t="shared" si="73"/>
        <v>13.661999999999999</v>
      </c>
      <c r="AB960">
        <f t="shared" si="74"/>
        <v>284.85270000000003</v>
      </c>
    </row>
    <row r="961" spans="1:28" ht="25.5" x14ac:dyDescent="0.25">
      <c r="A961" s="7">
        <v>960</v>
      </c>
      <c r="B961" s="7" t="s">
        <v>15</v>
      </c>
      <c r="C961" s="7" t="s">
        <v>119</v>
      </c>
      <c r="D961" s="7" t="s">
        <v>1057</v>
      </c>
      <c r="E961" s="7"/>
      <c r="F961" s="8"/>
      <c r="G961" s="7" t="s">
        <v>1057</v>
      </c>
      <c r="H961" s="9">
        <v>36.362834999999997</v>
      </c>
      <c r="I961" s="9">
        <v>9.6074319999999993</v>
      </c>
      <c r="J961" s="7" t="s">
        <v>121</v>
      </c>
      <c r="K961" s="7" t="s">
        <v>37</v>
      </c>
      <c r="L961" s="7"/>
      <c r="M961" s="10">
        <v>14.78</v>
      </c>
      <c r="N961" s="7" t="s">
        <v>78</v>
      </c>
      <c r="O961" s="7"/>
      <c r="P961" s="8" t="s">
        <v>39</v>
      </c>
      <c r="Q961">
        <v>5.42</v>
      </c>
      <c r="R961">
        <v>22.2</v>
      </c>
      <c r="S961" t="s">
        <v>53</v>
      </c>
      <c r="T961">
        <v>14</v>
      </c>
      <c r="U961">
        <f t="shared" si="70"/>
        <v>75.88</v>
      </c>
      <c r="V961">
        <v>1.1499999999999999</v>
      </c>
      <c r="W961">
        <v>160</v>
      </c>
      <c r="X961">
        <v>0.35</v>
      </c>
      <c r="Y961">
        <f t="shared" si="71"/>
        <v>56</v>
      </c>
      <c r="Z961">
        <f t="shared" si="72"/>
        <v>87.261999999999986</v>
      </c>
      <c r="AA961">
        <f t="shared" si="73"/>
        <v>31.261999999999986</v>
      </c>
      <c r="AB961">
        <f t="shared" si="74"/>
        <v>462.05235999999979</v>
      </c>
    </row>
    <row r="962" spans="1:28" ht="25.5" x14ac:dyDescent="0.25">
      <c r="A962" s="7">
        <v>961</v>
      </c>
      <c r="B962" s="7" t="s">
        <v>15</v>
      </c>
      <c r="C962" s="7" t="s">
        <v>34</v>
      </c>
      <c r="D962" s="7" t="s">
        <v>1058</v>
      </c>
      <c r="E962" s="7"/>
      <c r="F962" s="8"/>
      <c r="G962" s="7" t="s">
        <v>1058</v>
      </c>
      <c r="H962" s="9">
        <v>36.901263</v>
      </c>
      <c r="I962" s="9">
        <v>10.246117</v>
      </c>
      <c r="J962" s="7" t="s">
        <v>36</v>
      </c>
      <c r="K962" s="7" t="s">
        <v>37</v>
      </c>
      <c r="L962" s="7"/>
      <c r="M962" s="10">
        <v>6.49</v>
      </c>
      <c r="N962" s="7" t="s">
        <v>38</v>
      </c>
      <c r="O962" s="7"/>
      <c r="P962" s="8" t="s">
        <v>39</v>
      </c>
      <c r="Q962">
        <v>7.04</v>
      </c>
      <c r="R962">
        <v>42.3</v>
      </c>
      <c r="S962" t="s">
        <v>40</v>
      </c>
      <c r="T962">
        <v>18</v>
      </c>
      <c r="U962">
        <f t="shared" ref="U962:U1025" si="75">Q962*T962</f>
        <v>126.72</v>
      </c>
      <c r="V962">
        <v>0.6</v>
      </c>
      <c r="W962">
        <v>120</v>
      </c>
      <c r="X962">
        <v>0.35</v>
      </c>
      <c r="Y962">
        <f t="shared" ref="Y962:Y1025" si="76">W962*X962</f>
        <v>42</v>
      </c>
      <c r="Z962">
        <f t="shared" ref="Z962:Z1025" si="77">U962*V962</f>
        <v>76.031999999999996</v>
      </c>
      <c r="AA962">
        <f t="shared" ref="AA962:AA1025" si="78">MAX(0,Z962-Y962)</f>
        <v>34.031999999999996</v>
      </c>
      <c r="AB962">
        <f t="shared" si="74"/>
        <v>220.86767999999998</v>
      </c>
    </row>
    <row r="963" spans="1:28" ht="25.5" x14ac:dyDescent="0.25">
      <c r="A963" s="7">
        <v>962</v>
      </c>
      <c r="B963" s="7" t="s">
        <v>15</v>
      </c>
      <c r="C963" s="7" t="s">
        <v>41</v>
      </c>
      <c r="D963" s="7" t="s">
        <v>1059</v>
      </c>
      <c r="E963" s="7"/>
      <c r="F963" s="8"/>
      <c r="G963" s="7" t="s">
        <v>1059</v>
      </c>
      <c r="H963" s="9">
        <v>36.646210000000004</v>
      </c>
      <c r="I963" s="9">
        <v>9.6207100000000008</v>
      </c>
      <c r="J963" s="7" t="s">
        <v>43</v>
      </c>
      <c r="K963" s="7" t="s">
        <v>37</v>
      </c>
      <c r="L963" s="7"/>
      <c r="M963" s="10">
        <v>13.6</v>
      </c>
      <c r="N963" s="7" t="s">
        <v>44</v>
      </c>
      <c r="O963" s="7"/>
      <c r="P963" s="8" t="s">
        <v>39</v>
      </c>
      <c r="Q963">
        <v>7.57</v>
      </c>
      <c r="R963">
        <v>30.5</v>
      </c>
      <c r="S963" t="s">
        <v>58</v>
      </c>
      <c r="T963">
        <v>18</v>
      </c>
      <c r="U963">
        <f t="shared" si="75"/>
        <v>136.26</v>
      </c>
      <c r="V963">
        <v>0.9</v>
      </c>
      <c r="W963">
        <v>0</v>
      </c>
      <c r="X963">
        <v>0</v>
      </c>
      <c r="Y963">
        <f t="shared" si="76"/>
        <v>0</v>
      </c>
      <c r="Z963">
        <f t="shared" si="77"/>
        <v>122.634</v>
      </c>
      <c r="AA963">
        <f t="shared" si="78"/>
        <v>122.634</v>
      </c>
      <c r="AB963">
        <f t="shared" ref="AB963:AB1026" si="79">AA963*M963</f>
        <v>1667.8224</v>
      </c>
    </row>
    <row r="964" spans="1:28" ht="25.5" x14ac:dyDescent="0.25">
      <c r="A964" s="7">
        <v>963</v>
      </c>
      <c r="B964" s="7" t="s">
        <v>15</v>
      </c>
      <c r="C964" s="7" t="s">
        <v>45</v>
      </c>
      <c r="D964" s="7" t="s">
        <v>1060</v>
      </c>
      <c r="E964" s="7"/>
      <c r="F964" s="8"/>
      <c r="G964" s="7" t="s">
        <v>1060</v>
      </c>
      <c r="H964" s="9">
        <v>36.623277999999999</v>
      </c>
      <c r="I964" s="9">
        <v>10.337861</v>
      </c>
      <c r="J964" s="7" t="s">
        <v>47</v>
      </c>
      <c r="K964" s="7" t="s">
        <v>37</v>
      </c>
      <c r="L964" s="7"/>
      <c r="M964" s="10">
        <v>3.05</v>
      </c>
      <c r="N964" s="7" t="s">
        <v>48</v>
      </c>
      <c r="O964" s="7"/>
      <c r="P964" s="8" t="s">
        <v>39</v>
      </c>
      <c r="Q964">
        <v>6.03</v>
      </c>
      <c r="R964">
        <v>36.1</v>
      </c>
      <c r="S964" t="s">
        <v>40</v>
      </c>
      <c r="T964">
        <v>16</v>
      </c>
      <c r="U964">
        <f t="shared" si="75"/>
        <v>96.48</v>
      </c>
      <c r="V964">
        <v>0.54</v>
      </c>
      <c r="W964">
        <v>0</v>
      </c>
      <c r="X964">
        <v>0</v>
      </c>
      <c r="Y964">
        <f t="shared" si="76"/>
        <v>0</v>
      </c>
      <c r="Z964">
        <f t="shared" si="77"/>
        <v>52.099200000000003</v>
      </c>
      <c r="AA964">
        <f t="shared" si="78"/>
        <v>52.099200000000003</v>
      </c>
      <c r="AB964">
        <f t="shared" si="79"/>
        <v>158.90255999999999</v>
      </c>
    </row>
    <row r="965" spans="1:28" ht="25.5" x14ac:dyDescent="0.25">
      <c r="A965" s="7">
        <v>964</v>
      </c>
      <c r="B965" s="7" t="s">
        <v>15</v>
      </c>
      <c r="C965" s="7" t="s">
        <v>49</v>
      </c>
      <c r="D965" s="7" t="s">
        <v>1061</v>
      </c>
      <c r="E965" s="7"/>
      <c r="F965" s="8"/>
      <c r="G965" s="7" t="s">
        <v>1061</v>
      </c>
      <c r="H965" s="9">
        <v>37.168545999999999</v>
      </c>
      <c r="I965" s="9">
        <v>9.7953060000000001</v>
      </c>
      <c r="J965" s="7" t="s">
        <v>51</v>
      </c>
      <c r="K965" s="7" t="s">
        <v>37</v>
      </c>
      <c r="L965" s="7"/>
      <c r="M965" s="10">
        <v>19.43</v>
      </c>
      <c r="N965" s="7" t="s">
        <v>52</v>
      </c>
      <c r="O965" s="7"/>
      <c r="P965" s="8" t="s">
        <v>39</v>
      </c>
      <c r="Q965">
        <v>6.58</v>
      </c>
      <c r="R965">
        <v>12</v>
      </c>
      <c r="S965" t="s">
        <v>91</v>
      </c>
      <c r="T965">
        <v>12</v>
      </c>
      <c r="U965">
        <f t="shared" si="75"/>
        <v>78.960000000000008</v>
      </c>
      <c r="V965">
        <v>1.49</v>
      </c>
      <c r="W965">
        <v>0</v>
      </c>
      <c r="X965">
        <v>0</v>
      </c>
      <c r="Y965">
        <f t="shared" si="76"/>
        <v>0</v>
      </c>
      <c r="Z965">
        <f t="shared" si="77"/>
        <v>117.6504</v>
      </c>
      <c r="AA965">
        <f t="shared" si="78"/>
        <v>117.6504</v>
      </c>
      <c r="AB965">
        <f t="shared" si="79"/>
        <v>2285.9472719999999</v>
      </c>
    </row>
    <row r="966" spans="1:28" ht="25.5" x14ac:dyDescent="0.25">
      <c r="A966" s="7">
        <v>965</v>
      </c>
      <c r="B966" s="7" t="s">
        <v>15</v>
      </c>
      <c r="C966" s="7" t="s">
        <v>54</v>
      </c>
      <c r="D966" s="7" t="s">
        <v>1062</v>
      </c>
      <c r="E966" s="7"/>
      <c r="F966" s="8"/>
      <c r="G966" s="7" t="s">
        <v>1062</v>
      </c>
      <c r="H966" s="9">
        <v>33.617927999999999</v>
      </c>
      <c r="I966" s="9">
        <v>10.291973</v>
      </c>
      <c r="J966" s="7" t="s">
        <v>56</v>
      </c>
      <c r="K966" s="7" t="s">
        <v>37</v>
      </c>
      <c r="L966" s="7"/>
      <c r="M966" s="10">
        <v>1.39</v>
      </c>
      <c r="N966" s="7" t="s">
        <v>57</v>
      </c>
      <c r="O966" s="7"/>
      <c r="P966" s="8" t="s">
        <v>39</v>
      </c>
      <c r="Q966">
        <v>4.99</v>
      </c>
      <c r="R966">
        <v>22.8</v>
      </c>
      <c r="S966" t="s">
        <v>53</v>
      </c>
      <c r="T966">
        <v>8</v>
      </c>
      <c r="U966">
        <f t="shared" si="75"/>
        <v>39.92</v>
      </c>
      <c r="V966">
        <v>1.38</v>
      </c>
      <c r="W966">
        <v>0</v>
      </c>
      <c r="X966">
        <v>0</v>
      </c>
      <c r="Y966">
        <f t="shared" si="76"/>
        <v>0</v>
      </c>
      <c r="Z966">
        <f t="shared" si="77"/>
        <v>55.089599999999997</v>
      </c>
      <c r="AA966">
        <f t="shared" si="78"/>
        <v>55.089599999999997</v>
      </c>
      <c r="AB966">
        <f t="shared" si="79"/>
        <v>76.574543999999989</v>
      </c>
    </row>
    <row r="967" spans="1:28" ht="25.5" x14ac:dyDescent="0.25">
      <c r="A967" s="7">
        <v>966</v>
      </c>
      <c r="B967" s="7" t="s">
        <v>15</v>
      </c>
      <c r="C967" s="7" t="s">
        <v>59</v>
      </c>
      <c r="D967" s="7" t="s">
        <v>1063</v>
      </c>
      <c r="E967" s="7"/>
      <c r="F967" s="8"/>
      <c r="G967" s="7" t="s">
        <v>1063</v>
      </c>
      <c r="H967" s="9">
        <v>34.322974000000002</v>
      </c>
      <c r="I967" s="9">
        <v>8.3793520000000008</v>
      </c>
      <c r="J967" s="7" t="s">
        <v>61</v>
      </c>
      <c r="K967" s="7" t="s">
        <v>37</v>
      </c>
      <c r="L967" s="7"/>
      <c r="M967" s="10">
        <v>16.36</v>
      </c>
      <c r="N967" s="7" t="s">
        <v>62</v>
      </c>
      <c r="O967" s="7"/>
      <c r="P967" s="8" t="s">
        <v>39</v>
      </c>
      <c r="Q967">
        <v>7.13</v>
      </c>
      <c r="R967">
        <v>44.3</v>
      </c>
      <c r="S967" t="s">
        <v>40</v>
      </c>
      <c r="T967">
        <v>7</v>
      </c>
      <c r="U967">
        <f t="shared" si="75"/>
        <v>49.91</v>
      </c>
      <c r="V967">
        <v>0.66</v>
      </c>
      <c r="W967">
        <v>160</v>
      </c>
      <c r="X967">
        <v>0.35</v>
      </c>
      <c r="Y967">
        <f t="shared" si="76"/>
        <v>56</v>
      </c>
      <c r="Z967">
        <f t="shared" si="77"/>
        <v>32.940599999999996</v>
      </c>
      <c r="AA967">
        <f t="shared" si="78"/>
        <v>0</v>
      </c>
      <c r="AB967">
        <f t="shared" si="79"/>
        <v>0</v>
      </c>
    </row>
    <row r="968" spans="1:28" ht="25.5" x14ac:dyDescent="0.25">
      <c r="A968" s="7">
        <v>967</v>
      </c>
      <c r="B968" s="7" t="s">
        <v>15</v>
      </c>
      <c r="C968" s="7" t="s">
        <v>63</v>
      </c>
      <c r="D968" s="7" t="s">
        <v>1064</v>
      </c>
      <c r="E968" s="7"/>
      <c r="F968" s="8"/>
      <c r="G968" s="7" t="s">
        <v>1064</v>
      </c>
      <c r="H968" s="9">
        <v>36.934793999999997</v>
      </c>
      <c r="I968" s="9">
        <v>8.7596559999999997</v>
      </c>
      <c r="J968" s="7" t="s">
        <v>65</v>
      </c>
      <c r="K968" s="7" t="s">
        <v>37</v>
      </c>
      <c r="L968" s="7"/>
      <c r="M968" s="10">
        <v>9.2100000000000009</v>
      </c>
      <c r="N968" s="7" t="s">
        <v>66</v>
      </c>
      <c r="O968" s="7"/>
      <c r="P968" s="8" t="s">
        <v>39</v>
      </c>
      <c r="Q968">
        <v>6.78</v>
      </c>
      <c r="R968">
        <v>19.3</v>
      </c>
      <c r="S968" t="s">
        <v>53</v>
      </c>
      <c r="T968">
        <v>10</v>
      </c>
      <c r="U968">
        <f t="shared" si="75"/>
        <v>67.8</v>
      </c>
      <c r="V968">
        <v>0.92</v>
      </c>
      <c r="W968">
        <v>160</v>
      </c>
      <c r="X968">
        <v>0.35</v>
      </c>
      <c r="Y968">
        <f t="shared" si="76"/>
        <v>56</v>
      </c>
      <c r="Z968">
        <f t="shared" si="77"/>
        <v>62.375999999999998</v>
      </c>
      <c r="AA968">
        <f t="shared" si="78"/>
        <v>6.3759999999999977</v>
      </c>
      <c r="AB968">
        <f t="shared" si="79"/>
        <v>58.722959999999986</v>
      </c>
    </row>
    <row r="969" spans="1:28" ht="25.5" x14ac:dyDescent="0.25">
      <c r="A969" s="7">
        <v>968</v>
      </c>
      <c r="B969" s="7" t="s">
        <v>15</v>
      </c>
      <c r="C969" s="7" t="s">
        <v>67</v>
      </c>
      <c r="D969" s="7" t="s">
        <v>1065</v>
      </c>
      <c r="E969" s="7"/>
      <c r="F969" s="8"/>
      <c r="G969" s="7" t="s">
        <v>1065</v>
      </c>
      <c r="H969" s="9">
        <v>35.616056999999998</v>
      </c>
      <c r="I969" s="9">
        <v>9.9020709999999994</v>
      </c>
      <c r="J969" s="7" t="s">
        <v>69</v>
      </c>
      <c r="K969" s="7" t="s">
        <v>37</v>
      </c>
      <c r="L969" s="7"/>
      <c r="M969" s="10">
        <v>3.63</v>
      </c>
      <c r="N969" s="7" t="s">
        <v>70</v>
      </c>
      <c r="O969" s="7"/>
      <c r="P969" s="8" t="s">
        <v>39</v>
      </c>
      <c r="Q969">
        <v>2.7</v>
      </c>
      <c r="R969">
        <v>42.4</v>
      </c>
      <c r="S969" t="s">
        <v>40</v>
      </c>
      <c r="T969">
        <v>9</v>
      </c>
      <c r="U969">
        <f t="shared" si="75"/>
        <v>24.3</v>
      </c>
      <c r="V969">
        <v>0.54</v>
      </c>
      <c r="W969">
        <v>160</v>
      </c>
      <c r="X969">
        <v>0.35</v>
      </c>
      <c r="Y969">
        <f t="shared" si="76"/>
        <v>56</v>
      </c>
      <c r="Z969">
        <f t="shared" si="77"/>
        <v>13.122000000000002</v>
      </c>
      <c r="AA969">
        <f t="shared" si="78"/>
        <v>0</v>
      </c>
      <c r="AB969">
        <f t="shared" si="79"/>
        <v>0</v>
      </c>
    </row>
    <row r="970" spans="1:28" ht="25.5" x14ac:dyDescent="0.25">
      <c r="A970" s="7">
        <v>969</v>
      </c>
      <c r="B970" s="7" t="s">
        <v>15</v>
      </c>
      <c r="C970" s="7" t="s">
        <v>71</v>
      </c>
      <c r="D970" s="7" t="s">
        <v>1066</v>
      </c>
      <c r="E970" s="7"/>
      <c r="F970" s="8"/>
      <c r="G970" s="7" t="s">
        <v>1066</v>
      </c>
      <c r="H970" s="9">
        <v>35.231907</v>
      </c>
      <c r="I970" s="9">
        <v>9.1333000000000002</v>
      </c>
      <c r="J970" s="7" t="s">
        <v>73</v>
      </c>
      <c r="K970" s="7" t="s">
        <v>37</v>
      </c>
      <c r="L970" s="7"/>
      <c r="M970" s="10">
        <v>19.41</v>
      </c>
      <c r="N970" s="7" t="s">
        <v>74</v>
      </c>
      <c r="O970" s="7"/>
      <c r="P970" s="8" t="s">
        <v>39</v>
      </c>
      <c r="Q970">
        <v>7.24</v>
      </c>
      <c r="R970">
        <v>15.2</v>
      </c>
      <c r="S970" t="s">
        <v>53</v>
      </c>
      <c r="T970">
        <v>10</v>
      </c>
      <c r="U970">
        <f t="shared" si="75"/>
        <v>72.400000000000006</v>
      </c>
      <c r="V970">
        <v>1.03</v>
      </c>
      <c r="W970">
        <v>160</v>
      </c>
      <c r="X970">
        <v>0.35</v>
      </c>
      <c r="Y970">
        <f t="shared" si="76"/>
        <v>56</v>
      </c>
      <c r="Z970">
        <f t="shared" si="77"/>
        <v>74.572000000000003</v>
      </c>
      <c r="AA970">
        <f t="shared" si="78"/>
        <v>18.572000000000003</v>
      </c>
      <c r="AB970">
        <f t="shared" si="79"/>
        <v>360.48252000000008</v>
      </c>
    </row>
    <row r="971" spans="1:28" ht="25.5" x14ac:dyDescent="0.25">
      <c r="A971" s="7">
        <v>970</v>
      </c>
      <c r="B971" s="7" t="s">
        <v>15</v>
      </c>
      <c r="C971" s="7" t="s">
        <v>75</v>
      </c>
      <c r="D971" s="7" t="s">
        <v>1067</v>
      </c>
      <c r="E971" s="7"/>
      <c r="F971" s="8"/>
      <c r="G971" s="7" t="s">
        <v>1067</v>
      </c>
      <c r="H971" s="9">
        <v>33.451599999999999</v>
      </c>
      <c r="I971" s="9">
        <v>8.9919960000000003</v>
      </c>
      <c r="J971" s="7" t="s">
        <v>77</v>
      </c>
      <c r="K971" s="7" t="s">
        <v>37</v>
      </c>
      <c r="L971" s="7"/>
      <c r="M971" s="10">
        <v>19.84</v>
      </c>
      <c r="N971" s="7" t="s">
        <v>78</v>
      </c>
      <c r="O971" s="7"/>
      <c r="P971" s="8" t="s">
        <v>39</v>
      </c>
      <c r="Q971">
        <v>4.07</v>
      </c>
      <c r="R971">
        <v>17.600000000000001</v>
      </c>
      <c r="S971" t="s">
        <v>53</v>
      </c>
      <c r="T971">
        <v>14</v>
      </c>
      <c r="U971">
        <f t="shared" si="75"/>
        <v>56.980000000000004</v>
      </c>
      <c r="V971">
        <v>1.1499999999999999</v>
      </c>
      <c r="W971">
        <v>0</v>
      </c>
      <c r="X971">
        <v>0</v>
      </c>
      <c r="Y971">
        <f t="shared" si="76"/>
        <v>0</v>
      </c>
      <c r="Z971">
        <f t="shared" si="77"/>
        <v>65.527000000000001</v>
      </c>
      <c r="AA971">
        <f t="shared" si="78"/>
        <v>65.527000000000001</v>
      </c>
      <c r="AB971">
        <f t="shared" si="79"/>
        <v>1300.0556799999999</v>
      </c>
    </row>
    <row r="972" spans="1:28" ht="25.5" x14ac:dyDescent="0.25">
      <c r="A972" s="7">
        <v>971</v>
      </c>
      <c r="B972" s="7" t="s">
        <v>15</v>
      </c>
      <c r="C972" s="7" t="s">
        <v>79</v>
      </c>
      <c r="D972" s="7" t="s">
        <v>1068</v>
      </c>
      <c r="E972" s="7"/>
      <c r="F972" s="8"/>
      <c r="G972" s="7" t="s">
        <v>1068</v>
      </c>
      <c r="H972" s="9">
        <v>35.957873999999997</v>
      </c>
      <c r="I972" s="9">
        <v>8.845046</v>
      </c>
      <c r="J972" s="7" t="s">
        <v>81</v>
      </c>
      <c r="K972" s="7" t="s">
        <v>37</v>
      </c>
      <c r="L972" s="7"/>
      <c r="M972" s="10">
        <v>16.04</v>
      </c>
      <c r="N972" s="7" t="s">
        <v>38</v>
      </c>
      <c r="O972" s="7"/>
      <c r="P972" s="8" t="s">
        <v>39</v>
      </c>
      <c r="Q972">
        <v>5.14</v>
      </c>
      <c r="R972">
        <v>12.1</v>
      </c>
      <c r="S972" t="s">
        <v>91</v>
      </c>
      <c r="T972">
        <v>18</v>
      </c>
      <c r="U972">
        <f t="shared" si="75"/>
        <v>92.52</v>
      </c>
      <c r="V972">
        <v>1.35</v>
      </c>
      <c r="W972">
        <v>80</v>
      </c>
      <c r="X972">
        <v>0.35</v>
      </c>
      <c r="Y972">
        <f t="shared" si="76"/>
        <v>28</v>
      </c>
      <c r="Z972">
        <f t="shared" si="77"/>
        <v>124.902</v>
      </c>
      <c r="AA972">
        <f t="shared" si="78"/>
        <v>96.902000000000001</v>
      </c>
      <c r="AB972">
        <f t="shared" si="79"/>
        <v>1554.30808</v>
      </c>
    </row>
    <row r="973" spans="1:28" ht="25.5" x14ac:dyDescent="0.25">
      <c r="A973" s="7">
        <v>972</v>
      </c>
      <c r="B973" s="7" t="s">
        <v>15</v>
      </c>
      <c r="C973" s="7" t="s">
        <v>82</v>
      </c>
      <c r="D973" s="7" t="s">
        <v>1069</v>
      </c>
      <c r="E973" s="7"/>
      <c r="F973" s="8"/>
      <c r="G973" s="7" t="s">
        <v>1069</v>
      </c>
      <c r="H973" s="9">
        <v>35.240129000000003</v>
      </c>
      <c r="I973" s="9">
        <v>11.132092999999999</v>
      </c>
      <c r="J973" s="7" t="s">
        <v>84</v>
      </c>
      <c r="K973" s="7" t="s">
        <v>37</v>
      </c>
      <c r="L973" s="7"/>
      <c r="M973" s="10">
        <v>19.77</v>
      </c>
      <c r="N973" s="7" t="s">
        <v>44</v>
      </c>
      <c r="O973" s="7"/>
      <c r="P973" s="8" t="s">
        <v>39</v>
      </c>
      <c r="Q973">
        <v>7.47</v>
      </c>
      <c r="R973">
        <v>25.2</v>
      </c>
      <c r="S973" t="s">
        <v>58</v>
      </c>
      <c r="T973">
        <v>18</v>
      </c>
      <c r="U973">
        <f t="shared" si="75"/>
        <v>134.46</v>
      </c>
      <c r="V973">
        <v>0.9</v>
      </c>
      <c r="W973">
        <v>120</v>
      </c>
      <c r="X973">
        <v>0.35</v>
      </c>
      <c r="Y973">
        <f t="shared" si="76"/>
        <v>42</v>
      </c>
      <c r="Z973">
        <f t="shared" si="77"/>
        <v>121.01400000000001</v>
      </c>
      <c r="AA973">
        <f t="shared" si="78"/>
        <v>79.01400000000001</v>
      </c>
      <c r="AB973">
        <f t="shared" si="79"/>
        <v>1562.1067800000001</v>
      </c>
    </row>
    <row r="974" spans="1:28" ht="25.5" x14ac:dyDescent="0.25">
      <c r="A974" s="7">
        <v>973</v>
      </c>
      <c r="B974" s="7" t="s">
        <v>15</v>
      </c>
      <c r="C974" s="7" t="s">
        <v>85</v>
      </c>
      <c r="D974" s="7" t="s">
        <v>1070</v>
      </c>
      <c r="E974" s="7"/>
      <c r="F974" s="8"/>
      <c r="G974" s="7" t="s">
        <v>1070</v>
      </c>
      <c r="H974" s="9">
        <v>36.854345000000002</v>
      </c>
      <c r="I974" s="9">
        <v>9.8434869999999997</v>
      </c>
      <c r="J974" s="7" t="s">
        <v>87</v>
      </c>
      <c r="K974" s="7" t="s">
        <v>37</v>
      </c>
      <c r="L974" s="7"/>
      <c r="M974" s="10">
        <v>6.35</v>
      </c>
      <c r="N974" s="7" t="s">
        <v>48</v>
      </c>
      <c r="O974" s="7"/>
      <c r="P974" s="8" t="s">
        <v>39</v>
      </c>
      <c r="Q974">
        <v>4.0199999999999996</v>
      </c>
      <c r="R974">
        <v>14</v>
      </c>
      <c r="S974" t="s">
        <v>91</v>
      </c>
      <c r="T974">
        <v>16</v>
      </c>
      <c r="U974">
        <f t="shared" si="75"/>
        <v>64.319999999999993</v>
      </c>
      <c r="V974">
        <v>1.22</v>
      </c>
      <c r="W974">
        <v>120</v>
      </c>
      <c r="X974">
        <v>0.35</v>
      </c>
      <c r="Y974">
        <f t="shared" si="76"/>
        <v>42</v>
      </c>
      <c r="Z974">
        <f t="shared" si="77"/>
        <v>78.470399999999984</v>
      </c>
      <c r="AA974">
        <f t="shared" si="78"/>
        <v>36.470399999999984</v>
      </c>
      <c r="AB974">
        <f t="shared" si="79"/>
        <v>231.58703999999989</v>
      </c>
    </row>
    <row r="975" spans="1:28" ht="25.5" x14ac:dyDescent="0.25">
      <c r="A975" s="7">
        <v>974</v>
      </c>
      <c r="B975" s="7" t="s">
        <v>15</v>
      </c>
      <c r="C975" s="7" t="s">
        <v>88</v>
      </c>
      <c r="D975" s="7" t="s">
        <v>1071</v>
      </c>
      <c r="E975" s="7"/>
      <c r="F975" s="8"/>
      <c r="G975" s="7" t="s">
        <v>1071</v>
      </c>
      <c r="H975" s="9">
        <v>33.790024000000003</v>
      </c>
      <c r="I975" s="9">
        <v>11.005253</v>
      </c>
      <c r="J975" s="7" t="s">
        <v>90</v>
      </c>
      <c r="K975" s="7" t="s">
        <v>37</v>
      </c>
      <c r="L975" s="7"/>
      <c r="M975" s="10">
        <v>5.25</v>
      </c>
      <c r="N975" s="7" t="s">
        <v>52</v>
      </c>
      <c r="O975" s="7"/>
      <c r="P975" s="8" t="s">
        <v>39</v>
      </c>
      <c r="Q975">
        <v>5.26</v>
      </c>
      <c r="R975">
        <v>24.4</v>
      </c>
      <c r="S975" t="s">
        <v>53</v>
      </c>
      <c r="T975">
        <v>12</v>
      </c>
      <c r="U975">
        <f t="shared" si="75"/>
        <v>63.12</v>
      </c>
      <c r="V975">
        <v>1.26</v>
      </c>
      <c r="W975">
        <v>0</v>
      </c>
      <c r="X975">
        <v>0</v>
      </c>
      <c r="Y975">
        <f t="shared" si="76"/>
        <v>0</v>
      </c>
      <c r="Z975">
        <f t="shared" si="77"/>
        <v>79.531199999999998</v>
      </c>
      <c r="AA975">
        <f t="shared" si="78"/>
        <v>79.531199999999998</v>
      </c>
      <c r="AB975">
        <f t="shared" si="79"/>
        <v>417.53879999999998</v>
      </c>
    </row>
    <row r="976" spans="1:28" ht="25.5" x14ac:dyDescent="0.25">
      <c r="A976" s="7">
        <v>975</v>
      </c>
      <c r="B976" s="7" t="s">
        <v>15</v>
      </c>
      <c r="C976" s="7" t="s">
        <v>92</v>
      </c>
      <c r="D976" s="7" t="s">
        <v>1072</v>
      </c>
      <c r="E976" s="7"/>
      <c r="F976" s="8"/>
      <c r="G976" s="7" t="s">
        <v>1072</v>
      </c>
      <c r="H976" s="9">
        <v>35.601027999999999</v>
      </c>
      <c r="I976" s="9">
        <v>10.767882999999999</v>
      </c>
      <c r="J976" s="7" t="s">
        <v>94</v>
      </c>
      <c r="K976" s="7" t="s">
        <v>37</v>
      </c>
      <c r="L976" s="7"/>
      <c r="M976" s="10">
        <v>11.86</v>
      </c>
      <c r="N976" s="7" t="s">
        <v>57</v>
      </c>
      <c r="O976" s="7"/>
      <c r="P976" s="8" t="s">
        <v>39</v>
      </c>
      <c r="Q976">
        <v>7.5</v>
      </c>
      <c r="R976">
        <v>34.6</v>
      </c>
      <c r="S976" t="s">
        <v>58</v>
      </c>
      <c r="T976">
        <v>8</v>
      </c>
      <c r="U976">
        <f t="shared" si="75"/>
        <v>60</v>
      </c>
      <c r="V976">
        <v>1.08</v>
      </c>
      <c r="W976">
        <v>0</v>
      </c>
      <c r="X976">
        <v>0</v>
      </c>
      <c r="Y976">
        <f t="shared" si="76"/>
        <v>0</v>
      </c>
      <c r="Z976">
        <f t="shared" si="77"/>
        <v>64.800000000000011</v>
      </c>
      <c r="AA976">
        <f t="shared" si="78"/>
        <v>64.800000000000011</v>
      </c>
      <c r="AB976">
        <f t="shared" si="79"/>
        <v>768.52800000000013</v>
      </c>
    </row>
    <row r="977" spans="1:28" ht="25.5" x14ac:dyDescent="0.25">
      <c r="A977" s="7">
        <v>976</v>
      </c>
      <c r="B977" s="7" t="s">
        <v>15</v>
      </c>
      <c r="C977" s="7" t="s">
        <v>95</v>
      </c>
      <c r="D977" s="7" t="s">
        <v>1073</v>
      </c>
      <c r="E977" s="7"/>
      <c r="F977" s="8"/>
      <c r="G977" s="7" t="s">
        <v>1073</v>
      </c>
      <c r="H977" s="9">
        <v>36.548096999999999</v>
      </c>
      <c r="I977" s="9">
        <v>10.842466999999999</v>
      </c>
      <c r="J977" s="7" t="s">
        <v>97</v>
      </c>
      <c r="K977" s="7" t="s">
        <v>37</v>
      </c>
      <c r="L977" s="7"/>
      <c r="M977" s="10">
        <v>6.8</v>
      </c>
      <c r="N977" s="7" t="s">
        <v>62</v>
      </c>
      <c r="O977" s="7"/>
      <c r="P977" s="8" t="s">
        <v>39</v>
      </c>
      <c r="Q977">
        <v>4.1100000000000003</v>
      </c>
      <c r="R977">
        <v>19.600000000000001</v>
      </c>
      <c r="S977" t="s">
        <v>53</v>
      </c>
      <c r="T977">
        <v>7</v>
      </c>
      <c r="U977">
        <f t="shared" si="75"/>
        <v>28.770000000000003</v>
      </c>
      <c r="V977">
        <v>1.26</v>
      </c>
      <c r="W977">
        <v>0</v>
      </c>
      <c r="X977">
        <v>0</v>
      </c>
      <c r="Y977">
        <f t="shared" si="76"/>
        <v>0</v>
      </c>
      <c r="Z977">
        <f t="shared" si="77"/>
        <v>36.250200000000007</v>
      </c>
      <c r="AA977">
        <f t="shared" si="78"/>
        <v>36.250200000000007</v>
      </c>
      <c r="AB977">
        <f t="shared" si="79"/>
        <v>246.50136000000003</v>
      </c>
    </row>
    <row r="978" spans="1:28" ht="25.5" x14ac:dyDescent="0.25">
      <c r="A978" s="7">
        <v>977</v>
      </c>
      <c r="B978" s="7" t="s">
        <v>15</v>
      </c>
      <c r="C978" s="7" t="s">
        <v>98</v>
      </c>
      <c r="D978" s="7" t="s">
        <v>1074</v>
      </c>
      <c r="E978" s="7"/>
      <c r="F978" s="8"/>
      <c r="G978" s="7" t="s">
        <v>1074</v>
      </c>
      <c r="H978" s="9">
        <v>34.770370999999997</v>
      </c>
      <c r="I978" s="9">
        <v>10.515482</v>
      </c>
      <c r="J978" s="7" t="s">
        <v>100</v>
      </c>
      <c r="K978" s="7" t="s">
        <v>37</v>
      </c>
      <c r="L978" s="7"/>
      <c r="M978" s="10">
        <v>14.53</v>
      </c>
      <c r="N978" s="7" t="s">
        <v>66</v>
      </c>
      <c r="O978" s="7"/>
      <c r="P978" s="8" t="s">
        <v>39</v>
      </c>
      <c r="Q978">
        <v>7.77</v>
      </c>
      <c r="R978">
        <v>17.7</v>
      </c>
      <c r="S978" t="s">
        <v>53</v>
      </c>
      <c r="T978">
        <v>10</v>
      </c>
      <c r="U978">
        <f t="shared" si="75"/>
        <v>77.699999999999989</v>
      </c>
      <c r="V978">
        <v>0.92</v>
      </c>
      <c r="W978">
        <v>0</v>
      </c>
      <c r="X978">
        <v>0</v>
      </c>
      <c r="Y978">
        <f t="shared" si="76"/>
        <v>0</v>
      </c>
      <c r="Z978">
        <f t="shared" si="77"/>
        <v>71.483999999999995</v>
      </c>
      <c r="AA978">
        <f t="shared" si="78"/>
        <v>71.483999999999995</v>
      </c>
      <c r="AB978">
        <f t="shared" si="79"/>
        <v>1038.6625199999999</v>
      </c>
    </row>
    <row r="979" spans="1:28" ht="25.5" x14ac:dyDescent="0.25">
      <c r="A979" s="7">
        <v>978</v>
      </c>
      <c r="B979" s="7" t="s">
        <v>15</v>
      </c>
      <c r="C979" s="7" t="s">
        <v>101</v>
      </c>
      <c r="D979" s="7" t="s">
        <v>1075</v>
      </c>
      <c r="E979" s="7"/>
      <c r="F979" s="8"/>
      <c r="G979" s="7" t="s">
        <v>1075</v>
      </c>
      <c r="H979" s="9">
        <v>34.924703999999998</v>
      </c>
      <c r="I979" s="9">
        <v>9.7700999999999993</v>
      </c>
      <c r="J979" s="7" t="s">
        <v>103</v>
      </c>
      <c r="K979" s="7" t="s">
        <v>37</v>
      </c>
      <c r="L979" s="7"/>
      <c r="M979" s="10">
        <v>22.42</v>
      </c>
      <c r="N979" s="7" t="s">
        <v>70</v>
      </c>
      <c r="O979" s="7"/>
      <c r="P979" s="8" t="s">
        <v>39</v>
      </c>
      <c r="Q979">
        <v>4.6100000000000003</v>
      </c>
      <c r="R979">
        <v>22.7</v>
      </c>
      <c r="S979" t="s">
        <v>53</v>
      </c>
      <c r="T979">
        <v>9</v>
      </c>
      <c r="U979">
        <f t="shared" si="75"/>
        <v>41.49</v>
      </c>
      <c r="V979">
        <v>1.03</v>
      </c>
      <c r="W979">
        <v>0</v>
      </c>
      <c r="X979">
        <v>0</v>
      </c>
      <c r="Y979">
        <f t="shared" si="76"/>
        <v>0</v>
      </c>
      <c r="Z979">
        <f t="shared" si="77"/>
        <v>42.734700000000004</v>
      </c>
      <c r="AA979">
        <f t="shared" si="78"/>
        <v>42.734700000000004</v>
      </c>
      <c r="AB979">
        <f t="shared" si="79"/>
        <v>958.11197400000015</v>
      </c>
    </row>
    <row r="980" spans="1:28" ht="25.5" x14ac:dyDescent="0.25">
      <c r="A980" s="7">
        <v>979</v>
      </c>
      <c r="B980" s="7" t="s">
        <v>15</v>
      </c>
      <c r="C980" s="7" t="s">
        <v>104</v>
      </c>
      <c r="D980" s="7" t="s">
        <v>1076</v>
      </c>
      <c r="E980" s="7"/>
      <c r="F980" s="8"/>
      <c r="G980" s="7" t="s">
        <v>1076</v>
      </c>
      <c r="H980" s="9">
        <v>35.828631000000001</v>
      </c>
      <c r="I980" s="9">
        <v>9.2116310000000006</v>
      </c>
      <c r="J980" s="7" t="s">
        <v>106</v>
      </c>
      <c r="K980" s="7" t="s">
        <v>37</v>
      </c>
      <c r="L980" s="7"/>
      <c r="M980" s="10">
        <v>5.96</v>
      </c>
      <c r="N980" s="7" t="s">
        <v>74</v>
      </c>
      <c r="O980" s="7"/>
      <c r="P980" s="8" t="s">
        <v>39</v>
      </c>
      <c r="Q980">
        <v>2.02</v>
      </c>
      <c r="R980">
        <v>28.3</v>
      </c>
      <c r="S980" t="s">
        <v>58</v>
      </c>
      <c r="T980">
        <v>10</v>
      </c>
      <c r="U980">
        <f t="shared" si="75"/>
        <v>20.2</v>
      </c>
      <c r="V980">
        <v>0.81</v>
      </c>
      <c r="W980">
        <v>80</v>
      </c>
      <c r="X980">
        <v>0.35</v>
      </c>
      <c r="Y980">
        <f t="shared" si="76"/>
        <v>28</v>
      </c>
      <c r="Z980">
        <f t="shared" si="77"/>
        <v>16.362000000000002</v>
      </c>
      <c r="AA980">
        <f t="shared" si="78"/>
        <v>0</v>
      </c>
      <c r="AB980">
        <f t="shared" si="79"/>
        <v>0</v>
      </c>
    </row>
    <row r="981" spans="1:28" ht="25.5" x14ac:dyDescent="0.25">
      <c r="A981" s="7">
        <v>980</v>
      </c>
      <c r="B981" s="7" t="s">
        <v>15</v>
      </c>
      <c r="C981" s="7" t="s">
        <v>107</v>
      </c>
      <c r="D981" s="7" t="s">
        <v>1077</v>
      </c>
      <c r="E981" s="7"/>
      <c r="F981" s="8"/>
      <c r="G981" s="7" t="s">
        <v>1077</v>
      </c>
      <c r="H981" s="9">
        <v>36.121237000000001</v>
      </c>
      <c r="I981" s="9">
        <v>10.367232</v>
      </c>
      <c r="J981" s="7" t="s">
        <v>109</v>
      </c>
      <c r="K981" s="7" t="s">
        <v>37</v>
      </c>
      <c r="L981" s="7"/>
      <c r="M981" s="10">
        <v>12.36</v>
      </c>
      <c r="N981" s="7" t="s">
        <v>78</v>
      </c>
      <c r="O981" s="7"/>
      <c r="P981" s="8" t="s">
        <v>39</v>
      </c>
      <c r="Q981">
        <v>4.6900000000000004</v>
      </c>
      <c r="R981">
        <v>37.1</v>
      </c>
      <c r="S981" t="s">
        <v>40</v>
      </c>
      <c r="T981">
        <v>14</v>
      </c>
      <c r="U981">
        <f t="shared" si="75"/>
        <v>65.660000000000011</v>
      </c>
      <c r="V981">
        <v>0.6</v>
      </c>
      <c r="W981">
        <v>160</v>
      </c>
      <c r="X981">
        <v>0.35</v>
      </c>
      <c r="Y981">
        <f t="shared" si="76"/>
        <v>56</v>
      </c>
      <c r="Z981">
        <f t="shared" si="77"/>
        <v>39.396000000000008</v>
      </c>
      <c r="AA981">
        <f t="shared" si="78"/>
        <v>0</v>
      </c>
      <c r="AB981">
        <f t="shared" si="79"/>
        <v>0</v>
      </c>
    </row>
    <row r="982" spans="1:28" ht="25.5" x14ac:dyDescent="0.25">
      <c r="A982" s="7">
        <v>981</v>
      </c>
      <c r="B982" s="7" t="s">
        <v>15</v>
      </c>
      <c r="C982" s="7" t="s">
        <v>110</v>
      </c>
      <c r="D982" s="7" t="s">
        <v>1078</v>
      </c>
      <c r="E982" s="7"/>
      <c r="F982" s="8"/>
      <c r="G982" s="7" t="s">
        <v>1078</v>
      </c>
      <c r="H982" s="9">
        <v>33.150992000000002</v>
      </c>
      <c r="I982" s="9">
        <v>10.210883000000001</v>
      </c>
      <c r="J982" s="7" t="s">
        <v>112</v>
      </c>
      <c r="K982" s="7" t="s">
        <v>37</v>
      </c>
      <c r="L982" s="7"/>
      <c r="M982" s="10">
        <v>19.86</v>
      </c>
      <c r="N982" s="7" t="s">
        <v>38</v>
      </c>
      <c r="O982" s="7"/>
      <c r="P982" s="8" t="s">
        <v>39</v>
      </c>
      <c r="Q982">
        <v>5.26</v>
      </c>
      <c r="R982">
        <v>24</v>
      </c>
      <c r="S982" t="s">
        <v>53</v>
      </c>
      <c r="T982">
        <v>18</v>
      </c>
      <c r="U982">
        <f t="shared" si="75"/>
        <v>94.679999999999993</v>
      </c>
      <c r="V982">
        <v>1.1499999999999999</v>
      </c>
      <c r="W982">
        <v>0</v>
      </c>
      <c r="X982">
        <v>0</v>
      </c>
      <c r="Y982">
        <f t="shared" si="76"/>
        <v>0</v>
      </c>
      <c r="Z982">
        <f t="shared" si="77"/>
        <v>108.88199999999998</v>
      </c>
      <c r="AA982">
        <f t="shared" si="78"/>
        <v>108.88199999999998</v>
      </c>
      <c r="AB982">
        <f t="shared" si="79"/>
        <v>2162.3965199999993</v>
      </c>
    </row>
    <row r="983" spans="1:28" ht="25.5" x14ac:dyDescent="0.25">
      <c r="A983" s="7">
        <v>982</v>
      </c>
      <c r="B983" s="7" t="s">
        <v>15</v>
      </c>
      <c r="C983" s="7" t="s">
        <v>113</v>
      </c>
      <c r="D983" s="7" t="s">
        <v>1079</v>
      </c>
      <c r="E983" s="7"/>
      <c r="F983" s="8"/>
      <c r="G983" s="7" t="s">
        <v>1079</v>
      </c>
      <c r="H983" s="9">
        <v>33.850569</v>
      </c>
      <c r="I983" s="9">
        <v>7.8629889999999998</v>
      </c>
      <c r="J983" s="7" t="s">
        <v>115</v>
      </c>
      <c r="K983" s="7" t="s">
        <v>37</v>
      </c>
      <c r="L983" s="7"/>
      <c r="M983" s="10">
        <v>11.52</v>
      </c>
      <c r="N983" s="7" t="s">
        <v>44</v>
      </c>
      <c r="O983" s="7"/>
      <c r="P983" s="8" t="s">
        <v>39</v>
      </c>
      <c r="Q983">
        <v>4.13</v>
      </c>
      <c r="R983">
        <v>17.399999999999999</v>
      </c>
      <c r="S983" t="s">
        <v>53</v>
      </c>
      <c r="T983">
        <v>18</v>
      </c>
      <c r="U983">
        <f t="shared" si="75"/>
        <v>74.34</v>
      </c>
      <c r="V983">
        <v>1.1499999999999999</v>
      </c>
      <c r="W983">
        <v>0</v>
      </c>
      <c r="X983">
        <v>0</v>
      </c>
      <c r="Y983">
        <f t="shared" si="76"/>
        <v>0</v>
      </c>
      <c r="Z983">
        <f t="shared" si="77"/>
        <v>85.491</v>
      </c>
      <c r="AA983">
        <f t="shared" si="78"/>
        <v>85.491</v>
      </c>
      <c r="AB983">
        <f t="shared" si="79"/>
        <v>984.85631999999998</v>
      </c>
    </row>
    <row r="984" spans="1:28" ht="25.5" x14ac:dyDescent="0.25">
      <c r="A984" s="7">
        <v>983</v>
      </c>
      <c r="B984" s="7" t="s">
        <v>15</v>
      </c>
      <c r="C984" s="7" t="s">
        <v>116</v>
      </c>
      <c r="D984" s="7" t="s">
        <v>1080</v>
      </c>
      <c r="E984" s="7"/>
      <c r="F984" s="8"/>
      <c r="G984" s="7" t="s">
        <v>1080</v>
      </c>
      <c r="H984" s="9">
        <v>36.848793999999998</v>
      </c>
      <c r="I984" s="9">
        <v>10.336043</v>
      </c>
      <c r="J984" s="7" t="s">
        <v>118</v>
      </c>
      <c r="K984" s="7" t="s">
        <v>37</v>
      </c>
      <c r="L984" s="7"/>
      <c r="M984" s="10">
        <v>14.16</v>
      </c>
      <c r="N984" s="7" t="s">
        <v>48</v>
      </c>
      <c r="O984" s="7"/>
      <c r="P984" s="8" t="s">
        <v>39</v>
      </c>
      <c r="Q984">
        <v>4.5</v>
      </c>
      <c r="R984">
        <v>26.2</v>
      </c>
      <c r="S984" t="s">
        <v>58</v>
      </c>
      <c r="T984">
        <v>16</v>
      </c>
      <c r="U984">
        <f t="shared" si="75"/>
        <v>72</v>
      </c>
      <c r="V984">
        <v>0.81</v>
      </c>
      <c r="W984">
        <v>0</v>
      </c>
      <c r="X984">
        <v>0</v>
      </c>
      <c r="Y984">
        <f t="shared" si="76"/>
        <v>0</v>
      </c>
      <c r="Z984">
        <f t="shared" si="77"/>
        <v>58.320000000000007</v>
      </c>
      <c r="AA984">
        <f t="shared" si="78"/>
        <v>58.320000000000007</v>
      </c>
      <c r="AB984">
        <f t="shared" si="79"/>
        <v>825.8112000000001</v>
      </c>
    </row>
    <row r="985" spans="1:28" ht="25.5" x14ac:dyDescent="0.25">
      <c r="A985" s="7">
        <v>984</v>
      </c>
      <c r="B985" s="7" t="s">
        <v>15</v>
      </c>
      <c r="C985" s="7" t="s">
        <v>119</v>
      </c>
      <c r="D985" s="7" t="s">
        <v>1081</v>
      </c>
      <c r="E985" s="7"/>
      <c r="F985" s="8"/>
      <c r="G985" s="7" t="s">
        <v>1081</v>
      </c>
      <c r="H985" s="9">
        <v>36.380738999999998</v>
      </c>
      <c r="I985" s="9">
        <v>9.5943079999999998</v>
      </c>
      <c r="J985" s="7" t="s">
        <v>121</v>
      </c>
      <c r="K985" s="7" t="s">
        <v>37</v>
      </c>
      <c r="L985" s="7"/>
      <c r="M985" s="10">
        <v>10.27</v>
      </c>
      <c r="N985" s="7" t="s">
        <v>52</v>
      </c>
      <c r="O985" s="7"/>
      <c r="P985" s="8" t="s">
        <v>39</v>
      </c>
      <c r="Q985">
        <v>3.41</v>
      </c>
      <c r="R985">
        <v>32.4</v>
      </c>
      <c r="S985" t="s">
        <v>58</v>
      </c>
      <c r="T985">
        <v>12</v>
      </c>
      <c r="U985">
        <f t="shared" si="75"/>
        <v>40.92</v>
      </c>
      <c r="V985">
        <v>0.99</v>
      </c>
      <c r="W985">
        <v>0</v>
      </c>
      <c r="X985">
        <v>0</v>
      </c>
      <c r="Y985">
        <f t="shared" si="76"/>
        <v>0</v>
      </c>
      <c r="Z985">
        <f t="shared" si="77"/>
        <v>40.510800000000003</v>
      </c>
      <c r="AA985">
        <f t="shared" si="78"/>
        <v>40.510800000000003</v>
      </c>
      <c r="AB985">
        <f t="shared" si="79"/>
        <v>416.04591600000003</v>
      </c>
    </row>
    <row r="986" spans="1:28" ht="25.5" x14ac:dyDescent="0.25">
      <c r="A986" s="7">
        <v>985</v>
      </c>
      <c r="B986" s="7" t="s">
        <v>15</v>
      </c>
      <c r="C986" s="7" t="s">
        <v>34</v>
      </c>
      <c r="D986" s="7" t="s">
        <v>1082</v>
      </c>
      <c r="E986" s="7"/>
      <c r="F986" s="8"/>
      <c r="G986" s="7" t="s">
        <v>1082</v>
      </c>
      <c r="H986" s="9">
        <v>36.919063999999999</v>
      </c>
      <c r="I986" s="9">
        <v>10.218971</v>
      </c>
      <c r="J986" s="7" t="s">
        <v>36</v>
      </c>
      <c r="K986" s="7" t="s">
        <v>37</v>
      </c>
      <c r="L986" s="7"/>
      <c r="M986" s="10">
        <v>16.489999999999998</v>
      </c>
      <c r="N986" s="7" t="s">
        <v>57</v>
      </c>
      <c r="O986" s="7"/>
      <c r="P986" s="8" t="s">
        <v>39</v>
      </c>
      <c r="Q986">
        <v>6.03</v>
      </c>
      <c r="R986">
        <v>39</v>
      </c>
      <c r="S986" t="s">
        <v>40</v>
      </c>
      <c r="T986">
        <v>8</v>
      </c>
      <c r="U986">
        <f t="shared" si="75"/>
        <v>48.24</v>
      </c>
      <c r="V986">
        <v>0.72</v>
      </c>
      <c r="W986">
        <v>80</v>
      </c>
      <c r="X986">
        <v>0.35</v>
      </c>
      <c r="Y986">
        <f t="shared" si="76"/>
        <v>28</v>
      </c>
      <c r="Z986">
        <f t="shared" si="77"/>
        <v>34.732799999999997</v>
      </c>
      <c r="AA986">
        <f t="shared" si="78"/>
        <v>6.7327999999999975</v>
      </c>
      <c r="AB986">
        <f t="shared" si="79"/>
        <v>111.02387199999994</v>
      </c>
    </row>
    <row r="987" spans="1:28" ht="25.5" x14ac:dyDescent="0.25">
      <c r="A987" s="7">
        <v>986</v>
      </c>
      <c r="B987" s="7" t="s">
        <v>15</v>
      </c>
      <c r="C987" s="7" t="s">
        <v>41</v>
      </c>
      <c r="D987" s="7" t="s">
        <v>1083</v>
      </c>
      <c r="E987" s="7"/>
      <c r="F987" s="8"/>
      <c r="G987" s="7" t="s">
        <v>1083</v>
      </c>
      <c r="H987" s="9">
        <v>36.625878999999998</v>
      </c>
      <c r="I987" s="9">
        <v>9.6271869999999993</v>
      </c>
      <c r="J987" s="7" t="s">
        <v>43</v>
      </c>
      <c r="K987" s="7" t="s">
        <v>37</v>
      </c>
      <c r="L987" s="7"/>
      <c r="M987" s="10">
        <v>17.079999999999998</v>
      </c>
      <c r="N987" s="7" t="s">
        <v>62</v>
      </c>
      <c r="O987" s="7"/>
      <c r="P987" s="8" t="s">
        <v>39</v>
      </c>
      <c r="Q987">
        <v>4.71</v>
      </c>
      <c r="R987">
        <v>36.299999999999997</v>
      </c>
      <c r="S987" t="s">
        <v>40</v>
      </c>
      <c r="T987">
        <v>7</v>
      </c>
      <c r="U987">
        <f t="shared" si="75"/>
        <v>32.97</v>
      </c>
      <c r="V987">
        <v>0.66</v>
      </c>
      <c r="W987">
        <v>0</v>
      </c>
      <c r="X987">
        <v>0</v>
      </c>
      <c r="Y987">
        <f t="shared" si="76"/>
        <v>0</v>
      </c>
      <c r="Z987">
        <f t="shared" si="77"/>
        <v>21.760200000000001</v>
      </c>
      <c r="AA987">
        <f t="shared" si="78"/>
        <v>21.760200000000001</v>
      </c>
      <c r="AB987">
        <f t="shared" si="79"/>
        <v>371.66421599999995</v>
      </c>
    </row>
    <row r="988" spans="1:28" ht="25.5" x14ac:dyDescent="0.25">
      <c r="A988" s="7">
        <v>987</v>
      </c>
      <c r="B988" s="7" t="s">
        <v>15</v>
      </c>
      <c r="C988" s="7" t="s">
        <v>45</v>
      </c>
      <c r="D988" s="7" t="s">
        <v>1084</v>
      </c>
      <c r="E988" s="7"/>
      <c r="F988" s="8"/>
      <c r="G988" s="7" t="s">
        <v>1084</v>
      </c>
      <c r="H988" s="9">
        <v>36.609245000000001</v>
      </c>
      <c r="I988" s="9">
        <v>10.314238</v>
      </c>
      <c r="J988" s="7" t="s">
        <v>47</v>
      </c>
      <c r="K988" s="7" t="s">
        <v>37</v>
      </c>
      <c r="L988" s="7"/>
      <c r="M988" s="10">
        <v>15.82</v>
      </c>
      <c r="N988" s="7" t="s">
        <v>66</v>
      </c>
      <c r="O988" s="7"/>
      <c r="P988" s="8" t="s">
        <v>39</v>
      </c>
      <c r="Q988">
        <v>4.0599999999999996</v>
      </c>
      <c r="R988">
        <v>29.8</v>
      </c>
      <c r="S988" t="s">
        <v>58</v>
      </c>
      <c r="T988">
        <v>10</v>
      </c>
      <c r="U988">
        <f t="shared" si="75"/>
        <v>40.599999999999994</v>
      </c>
      <c r="V988">
        <v>0.72</v>
      </c>
      <c r="W988">
        <v>50</v>
      </c>
      <c r="X988">
        <v>0.35</v>
      </c>
      <c r="Y988">
        <f t="shared" si="76"/>
        <v>17.5</v>
      </c>
      <c r="Z988">
        <f t="shared" si="77"/>
        <v>29.231999999999996</v>
      </c>
      <c r="AA988">
        <f t="shared" si="78"/>
        <v>11.731999999999996</v>
      </c>
      <c r="AB988">
        <f t="shared" si="79"/>
        <v>185.60023999999993</v>
      </c>
    </row>
    <row r="989" spans="1:28" ht="25.5" x14ac:dyDescent="0.25">
      <c r="A989" s="7">
        <v>988</v>
      </c>
      <c r="B989" s="7" t="s">
        <v>15</v>
      </c>
      <c r="C989" s="7" t="s">
        <v>49</v>
      </c>
      <c r="D989" s="7" t="s">
        <v>1085</v>
      </c>
      <c r="E989" s="7"/>
      <c r="F989" s="8"/>
      <c r="G989" s="7" t="s">
        <v>1085</v>
      </c>
      <c r="H989" s="9">
        <v>37.152397000000001</v>
      </c>
      <c r="I989" s="9">
        <v>9.7833410000000001</v>
      </c>
      <c r="J989" s="7" t="s">
        <v>51</v>
      </c>
      <c r="K989" s="7" t="s">
        <v>37</v>
      </c>
      <c r="L989" s="7"/>
      <c r="M989" s="10">
        <v>20.91</v>
      </c>
      <c r="N989" s="7" t="s">
        <v>70</v>
      </c>
      <c r="O989" s="7"/>
      <c r="P989" s="8" t="s">
        <v>39</v>
      </c>
      <c r="Q989">
        <v>5.14</v>
      </c>
      <c r="R989">
        <v>14.2</v>
      </c>
      <c r="S989" t="s">
        <v>91</v>
      </c>
      <c r="T989">
        <v>9</v>
      </c>
      <c r="U989">
        <f t="shared" si="75"/>
        <v>46.26</v>
      </c>
      <c r="V989">
        <v>1.22</v>
      </c>
      <c r="W989">
        <v>0</v>
      </c>
      <c r="X989">
        <v>0</v>
      </c>
      <c r="Y989">
        <f t="shared" si="76"/>
        <v>0</v>
      </c>
      <c r="Z989">
        <f t="shared" si="77"/>
        <v>56.437199999999997</v>
      </c>
      <c r="AA989">
        <f t="shared" si="78"/>
        <v>56.437199999999997</v>
      </c>
      <c r="AB989">
        <f t="shared" si="79"/>
        <v>1180.101852</v>
      </c>
    </row>
    <row r="990" spans="1:28" ht="25.5" x14ac:dyDescent="0.25">
      <c r="A990" s="7">
        <v>989</v>
      </c>
      <c r="B990" s="7" t="s">
        <v>15</v>
      </c>
      <c r="C990" s="7" t="s">
        <v>54</v>
      </c>
      <c r="D990" s="7" t="s">
        <v>1086</v>
      </c>
      <c r="E990" s="7"/>
      <c r="F990" s="8"/>
      <c r="G990" s="7" t="s">
        <v>1086</v>
      </c>
      <c r="H990" s="9">
        <v>33.643341999999997</v>
      </c>
      <c r="I990" s="9">
        <v>10.298925000000001</v>
      </c>
      <c r="J990" s="7" t="s">
        <v>56</v>
      </c>
      <c r="K990" s="7" t="s">
        <v>37</v>
      </c>
      <c r="L990" s="7"/>
      <c r="M990" s="10">
        <v>2.4700000000000002</v>
      </c>
      <c r="N990" s="7" t="s">
        <v>74</v>
      </c>
      <c r="O990" s="7"/>
      <c r="P990" s="8" t="s">
        <v>39</v>
      </c>
      <c r="Q990">
        <v>6.49</v>
      </c>
      <c r="R990">
        <v>17</v>
      </c>
      <c r="S990" t="s">
        <v>53</v>
      </c>
      <c r="T990">
        <v>10</v>
      </c>
      <c r="U990">
        <f t="shared" si="75"/>
        <v>64.900000000000006</v>
      </c>
      <c r="V990">
        <v>1.03</v>
      </c>
      <c r="W990">
        <v>0</v>
      </c>
      <c r="X990">
        <v>0</v>
      </c>
      <c r="Y990">
        <f t="shared" si="76"/>
        <v>0</v>
      </c>
      <c r="Z990">
        <f t="shared" si="77"/>
        <v>66.847000000000008</v>
      </c>
      <c r="AA990">
        <f t="shared" si="78"/>
        <v>66.847000000000008</v>
      </c>
      <c r="AB990">
        <f t="shared" si="79"/>
        <v>165.11209000000002</v>
      </c>
    </row>
    <row r="991" spans="1:28" ht="25.5" x14ac:dyDescent="0.25">
      <c r="A991" s="7">
        <v>990</v>
      </c>
      <c r="B991" s="7" t="s">
        <v>15</v>
      </c>
      <c r="C991" s="7" t="s">
        <v>59</v>
      </c>
      <c r="D991" s="7" t="s">
        <v>1087</v>
      </c>
      <c r="E991" s="7"/>
      <c r="F991" s="8"/>
      <c r="G991" s="7" t="s">
        <v>1087</v>
      </c>
      <c r="H991" s="9">
        <v>34.319988000000002</v>
      </c>
      <c r="I991" s="9">
        <v>8.3893959999999996</v>
      </c>
      <c r="J991" s="7" t="s">
        <v>61</v>
      </c>
      <c r="K991" s="7" t="s">
        <v>37</v>
      </c>
      <c r="L991" s="7"/>
      <c r="M991" s="10">
        <v>11.48</v>
      </c>
      <c r="N991" s="7" t="s">
        <v>78</v>
      </c>
      <c r="O991" s="7"/>
      <c r="P991" s="8" t="s">
        <v>39</v>
      </c>
      <c r="Q991">
        <v>4.6100000000000003</v>
      </c>
      <c r="R991">
        <v>12.1</v>
      </c>
      <c r="S991" t="s">
        <v>91</v>
      </c>
      <c r="T991">
        <v>14</v>
      </c>
      <c r="U991">
        <f t="shared" si="75"/>
        <v>64.540000000000006</v>
      </c>
      <c r="V991">
        <v>1.35</v>
      </c>
      <c r="W991">
        <v>0</v>
      </c>
      <c r="X991">
        <v>0</v>
      </c>
      <c r="Y991">
        <f t="shared" si="76"/>
        <v>0</v>
      </c>
      <c r="Z991">
        <f t="shared" si="77"/>
        <v>87.129000000000019</v>
      </c>
      <c r="AA991">
        <f t="shared" si="78"/>
        <v>87.129000000000019</v>
      </c>
      <c r="AB991">
        <f t="shared" si="79"/>
        <v>1000.2409200000003</v>
      </c>
    </row>
    <row r="992" spans="1:28" ht="25.5" x14ac:dyDescent="0.25">
      <c r="A992" s="7">
        <v>991</v>
      </c>
      <c r="B992" s="7" t="s">
        <v>15</v>
      </c>
      <c r="C992" s="7" t="s">
        <v>63</v>
      </c>
      <c r="D992" s="7" t="s">
        <v>1088</v>
      </c>
      <c r="E992" s="7"/>
      <c r="F992" s="8"/>
      <c r="G992" s="7" t="s">
        <v>1088</v>
      </c>
      <c r="H992" s="9">
        <v>36.955240000000003</v>
      </c>
      <c r="I992" s="9">
        <v>8.7388390000000005</v>
      </c>
      <c r="J992" s="7" t="s">
        <v>65</v>
      </c>
      <c r="K992" s="7" t="s">
        <v>37</v>
      </c>
      <c r="L992" s="7"/>
      <c r="M992" s="10">
        <v>20.34</v>
      </c>
      <c r="N992" s="7" t="s">
        <v>38</v>
      </c>
      <c r="O992" s="7"/>
      <c r="P992" s="8" t="s">
        <v>39</v>
      </c>
      <c r="Q992">
        <v>6.07</v>
      </c>
      <c r="R992">
        <v>40.700000000000003</v>
      </c>
      <c r="S992" t="s">
        <v>40</v>
      </c>
      <c r="T992">
        <v>18</v>
      </c>
      <c r="U992">
        <f t="shared" si="75"/>
        <v>109.26</v>
      </c>
      <c r="V992">
        <v>0.6</v>
      </c>
      <c r="W992">
        <v>160</v>
      </c>
      <c r="X992">
        <v>0.35</v>
      </c>
      <c r="Y992">
        <f t="shared" si="76"/>
        <v>56</v>
      </c>
      <c r="Z992">
        <f t="shared" si="77"/>
        <v>65.555999999999997</v>
      </c>
      <c r="AA992">
        <f t="shared" si="78"/>
        <v>9.5559999999999974</v>
      </c>
      <c r="AB992">
        <f t="shared" si="79"/>
        <v>194.36903999999996</v>
      </c>
    </row>
    <row r="993" spans="1:28" ht="25.5" x14ac:dyDescent="0.25">
      <c r="A993" s="7">
        <v>992</v>
      </c>
      <c r="B993" s="7" t="s">
        <v>15</v>
      </c>
      <c r="C993" s="7" t="s">
        <v>67</v>
      </c>
      <c r="D993" s="7" t="s">
        <v>1089</v>
      </c>
      <c r="E993" s="7"/>
      <c r="F993" s="8"/>
      <c r="G993" s="7" t="s">
        <v>1089</v>
      </c>
      <c r="H993" s="9">
        <v>35.600468999999997</v>
      </c>
      <c r="I993" s="9">
        <v>9.9047440000000009</v>
      </c>
      <c r="J993" s="7" t="s">
        <v>69</v>
      </c>
      <c r="K993" s="7" t="s">
        <v>37</v>
      </c>
      <c r="L993" s="7"/>
      <c r="M993" s="10">
        <v>16.48</v>
      </c>
      <c r="N993" s="7" t="s">
        <v>44</v>
      </c>
      <c r="O993" s="7"/>
      <c r="P993" s="8" t="s">
        <v>39</v>
      </c>
      <c r="Q993">
        <v>3.5</v>
      </c>
      <c r="R993">
        <v>17.2</v>
      </c>
      <c r="S993" t="s">
        <v>53</v>
      </c>
      <c r="T993">
        <v>18</v>
      </c>
      <c r="U993">
        <f t="shared" si="75"/>
        <v>63</v>
      </c>
      <c r="V993">
        <v>1.1499999999999999</v>
      </c>
      <c r="W993">
        <v>120</v>
      </c>
      <c r="X993">
        <v>0.35</v>
      </c>
      <c r="Y993">
        <f t="shared" si="76"/>
        <v>42</v>
      </c>
      <c r="Z993">
        <f t="shared" si="77"/>
        <v>72.449999999999989</v>
      </c>
      <c r="AA993">
        <f t="shared" si="78"/>
        <v>30.449999999999989</v>
      </c>
      <c r="AB993">
        <f t="shared" si="79"/>
        <v>501.8159999999998</v>
      </c>
    </row>
    <row r="994" spans="1:28" ht="25.5" x14ac:dyDescent="0.25">
      <c r="A994" s="7">
        <v>993</v>
      </c>
      <c r="B994" s="7" t="s">
        <v>15</v>
      </c>
      <c r="C994" s="7" t="s">
        <v>71</v>
      </c>
      <c r="D994" s="7" t="s">
        <v>1090</v>
      </c>
      <c r="E994" s="7"/>
      <c r="F994" s="8"/>
      <c r="G994" s="7" t="s">
        <v>1090</v>
      </c>
      <c r="H994" s="9">
        <v>35.252321000000002</v>
      </c>
      <c r="I994" s="9">
        <v>9.1107519999999997</v>
      </c>
      <c r="J994" s="7" t="s">
        <v>73</v>
      </c>
      <c r="K994" s="7" t="s">
        <v>37</v>
      </c>
      <c r="L994" s="7"/>
      <c r="M994" s="10">
        <v>6.51</v>
      </c>
      <c r="N994" s="7" t="s">
        <v>48</v>
      </c>
      <c r="O994" s="7"/>
      <c r="P994" s="8" t="s">
        <v>39</v>
      </c>
      <c r="Q994">
        <v>7.6</v>
      </c>
      <c r="R994">
        <v>28.2</v>
      </c>
      <c r="S994" t="s">
        <v>58</v>
      </c>
      <c r="T994">
        <v>16</v>
      </c>
      <c r="U994">
        <f t="shared" si="75"/>
        <v>121.6</v>
      </c>
      <c r="V994">
        <v>0.81</v>
      </c>
      <c r="W994">
        <v>120</v>
      </c>
      <c r="X994">
        <v>0.35</v>
      </c>
      <c r="Y994">
        <f t="shared" si="76"/>
        <v>42</v>
      </c>
      <c r="Z994">
        <f t="shared" si="77"/>
        <v>98.495999999999995</v>
      </c>
      <c r="AA994">
        <f t="shared" si="78"/>
        <v>56.495999999999995</v>
      </c>
      <c r="AB994">
        <f t="shared" si="79"/>
        <v>367.78895999999997</v>
      </c>
    </row>
    <row r="995" spans="1:28" ht="25.5" x14ac:dyDescent="0.25">
      <c r="A995" s="7">
        <v>994</v>
      </c>
      <c r="B995" s="7" t="s">
        <v>15</v>
      </c>
      <c r="C995" s="7" t="s">
        <v>75</v>
      </c>
      <c r="D995" s="7" t="s">
        <v>1091</v>
      </c>
      <c r="E995" s="7"/>
      <c r="F995" s="8"/>
      <c r="G995" s="7" t="s">
        <v>1091</v>
      </c>
      <c r="H995" s="9">
        <v>33.467500000000001</v>
      </c>
      <c r="I995" s="9">
        <v>9.0146569999999997</v>
      </c>
      <c r="J995" s="7" t="s">
        <v>77</v>
      </c>
      <c r="K995" s="7" t="s">
        <v>37</v>
      </c>
      <c r="L995" s="7"/>
      <c r="M995" s="10">
        <v>23.26</v>
      </c>
      <c r="N995" s="7" t="s">
        <v>52</v>
      </c>
      <c r="O995" s="7"/>
      <c r="P995" s="8" t="s">
        <v>39</v>
      </c>
      <c r="Q995">
        <v>7.03</v>
      </c>
      <c r="R995">
        <v>32.200000000000003</v>
      </c>
      <c r="S995" t="s">
        <v>58</v>
      </c>
      <c r="T995">
        <v>12</v>
      </c>
      <c r="U995">
        <f t="shared" si="75"/>
        <v>84.36</v>
      </c>
      <c r="V995">
        <v>0.99</v>
      </c>
      <c r="W995">
        <v>0</v>
      </c>
      <c r="X995">
        <v>0</v>
      </c>
      <c r="Y995">
        <f t="shared" si="76"/>
        <v>0</v>
      </c>
      <c r="Z995">
        <f t="shared" si="77"/>
        <v>83.516400000000004</v>
      </c>
      <c r="AA995">
        <f t="shared" si="78"/>
        <v>83.516400000000004</v>
      </c>
      <c r="AB995">
        <f t="shared" si="79"/>
        <v>1942.5914640000003</v>
      </c>
    </row>
    <row r="996" spans="1:28" ht="25.5" x14ac:dyDescent="0.25">
      <c r="A996" s="7">
        <v>995</v>
      </c>
      <c r="B996" s="7" t="s">
        <v>15</v>
      </c>
      <c r="C996" s="7" t="s">
        <v>79</v>
      </c>
      <c r="D996" s="7" t="s">
        <v>1092</v>
      </c>
      <c r="E996" s="7"/>
      <c r="F996" s="8"/>
      <c r="G996" s="7" t="s">
        <v>1092</v>
      </c>
      <c r="H996" s="9">
        <v>35.944564999999997</v>
      </c>
      <c r="I996" s="9">
        <v>8.8231099999999998</v>
      </c>
      <c r="J996" s="7" t="s">
        <v>81</v>
      </c>
      <c r="K996" s="7" t="s">
        <v>37</v>
      </c>
      <c r="L996" s="7"/>
      <c r="M996" s="10">
        <v>19.39</v>
      </c>
      <c r="N996" s="7" t="s">
        <v>57</v>
      </c>
      <c r="O996" s="7"/>
      <c r="P996" s="8" t="s">
        <v>39</v>
      </c>
      <c r="Q996">
        <v>6.68</v>
      </c>
      <c r="R996">
        <v>25.4</v>
      </c>
      <c r="S996" t="s">
        <v>58</v>
      </c>
      <c r="T996">
        <v>8</v>
      </c>
      <c r="U996">
        <f t="shared" si="75"/>
        <v>53.44</v>
      </c>
      <c r="V996">
        <v>1.08</v>
      </c>
      <c r="W996">
        <v>0</v>
      </c>
      <c r="X996">
        <v>0</v>
      </c>
      <c r="Y996">
        <f t="shared" si="76"/>
        <v>0</v>
      </c>
      <c r="Z996">
        <f t="shared" si="77"/>
        <v>57.715200000000003</v>
      </c>
      <c r="AA996">
        <f t="shared" si="78"/>
        <v>57.715200000000003</v>
      </c>
      <c r="AB996">
        <f t="shared" si="79"/>
        <v>1119.0977280000002</v>
      </c>
    </row>
    <row r="997" spans="1:28" ht="25.5" x14ac:dyDescent="0.25">
      <c r="A997" s="7">
        <v>996</v>
      </c>
      <c r="B997" s="7" t="s">
        <v>15</v>
      </c>
      <c r="C997" s="7" t="s">
        <v>82</v>
      </c>
      <c r="D997" s="7" t="s">
        <v>1093</v>
      </c>
      <c r="E997" s="7"/>
      <c r="F997" s="8"/>
      <c r="G997" s="7" t="s">
        <v>1093</v>
      </c>
      <c r="H997" s="9">
        <v>35.237327999999998</v>
      </c>
      <c r="I997" s="9">
        <v>11.120089</v>
      </c>
      <c r="J997" s="7" t="s">
        <v>84</v>
      </c>
      <c r="K997" s="7" t="s">
        <v>37</v>
      </c>
      <c r="L997" s="7"/>
      <c r="M997" s="10">
        <v>4.38</v>
      </c>
      <c r="N997" s="7" t="s">
        <v>62</v>
      </c>
      <c r="O997" s="7"/>
      <c r="P997" s="8" t="s">
        <v>39</v>
      </c>
      <c r="Q997">
        <v>6.52</v>
      </c>
      <c r="R997">
        <v>14.6</v>
      </c>
      <c r="S997" t="s">
        <v>91</v>
      </c>
      <c r="T997">
        <v>7</v>
      </c>
      <c r="U997">
        <f t="shared" si="75"/>
        <v>45.64</v>
      </c>
      <c r="V997">
        <v>1.49</v>
      </c>
      <c r="W997">
        <v>0</v>
      </c>
      <c r="X997">
        <v>0</v>
      </c>
      <c r="Y997">
        <f t="shared" si="76"/>
        <v>0</v>
      </c>
      <c r="Z997">
        <f t="shared" si="77"/>
        <v>68.003600000000006</v>
      </c>
      <c r="AA997">
        <f t="shared" si="78"/>
        <v>68.003600000000006</v>
      </c>
      <c r="AB997">
        <f t="shared" si="79"/>
        <v>297.85576800000001</v>
      </c>
    </row>
    <row r="998" spans="1:28" ht="25.5" x14ac:dyDescent="0.25">
      <c r="A998" s="7">
        <v>997</v>
      </c>
      <c r="B998" s="7" t="s">
        <v>15</v>
      </c>
      <c r="C998" s="7" t="s">
        <v>85</v>
      </c>
      <c r="D998" s="7" t="s">
        <v>1094</v>
      </c>
      <c r="E998" s="7"/>
      <c r="F998" s="8"/>
      <c r="G998" s="7" t="s">
        <v>1094</v>
      </c>
      <c r="H998" s="9">
        <v>36.821190999999999</v>
      </c>
      <c r="I998" s="9">
        <v>9.8688950000000002</v>
      </c>
      <c r="J998" s="7" t="s">
        <v>87</v>
      </c>
      <c r="K998" s="7" t="s">
        <v>37</v>
      </c>
      <c r="L998" s="7"/>
      <c r="M998" s="10">
        <v>8.77</v>
      </c>
      <c r="N998" s="7" t="s">
        <v>66</v>
      </c>
      <c r="O998" s="7"/>
      <c r="P998" s="8" t="s">
        <v>39</v>
      </c>
      <c r="Q998">
        <v>6.8</v>
      </c>
      <c r="R998">
        <v>19.100000000000001</v>
      </c>
      <c r="S998" t="s">
        <v>53</v>
      </c>
      <c r="T998">
        <v>10</v>
      </c>
      <c r="U998">
        <f t="shared" si="75"/>
        <v>68</v>
      </c>
      <c r="V998">
        <v>0.92</v>
      </c>
      <c r="W998">
        <v>160</v>
      </c>
      <c r="X998">
        <v>0.35</v>
      </c>
      <c r="Y998">
        <f t="shared" si="76"/>
        <v>56</v>
      </c>
      <c r="Z998">
        <f t="shared" si="77"/>
        <v>62.56</v>
      </c>
      <c r="AA998">
        <f t="shared" si="78"/>
        <v>6.5600000000000023</v>
      </c>
      <c r="AB998">
        <f t="shared" si="79"/>
        <v>57.53120000000002</v>
      </c>
    </row>
    <row r="999" spans="1:28" ht="25.5" x14ac:dyDescent="0.25">
      <c r="A999" s="7">
        <v>998</v>
      </c>
      <c r="B999" s="7" t="s">
        <v>15</v>
      </c>
      <c r="C999" s="7" t="s">
        <v>88</v>
      </c>
      <c r="D999" s="7" t="s">
        <v>1095</v>
      </c>
      <c r="E999" s="7"/>
      <c r="F999" s="8"/>
      <c r="G999" s="7" t="s">
        <v>1095</v>
      </c>
      <c r="H999" s="9">
        <v>33.811754000000001</v>
      </c>
      <c r="I999" s="9">
        <v>11.013101000000001</v>
      </c>
      <c r="J999" s="7" t="s">
        <v>90</v>
      </c>
      <c r="K999" s="7" t="s">
        <v>37</v>
      </c>
      <c r="L999" s="7"/>
      <c r="M999" s="10">
        <v>5.86</v>
      </c>
      <c r="N999" s="7" t="s">
        <v>70</v>
      </c>
      <c r="O999" s="7"/>
      <c r="P999" s="8" t="s">
        <v>39</v>
      </c>
      <c r="Q999">
        <v>7.11</v>
      </c>
      <c r="R999">
        <v>33.299999999999997</v>
      </c>
      <c r="S999" t="s">
        <v>58</v>
      </c>
      <c r="T999">
        <v>9</v>
      </c>
      <c r="U999">
        <f t="shared" si="75"/>
        <v>63.99</v>
      </c>
      <c r="V999">
        <v>0.81</v>
      </c>
      <c r="W999">
        <v>50</v>
      </c>
      <c r="X999">
        <v>0.35</v>
      </c>
      <c r="Y999">
        <f t="shared" si="76"/>
        <v>17.5</v>
      </c>
      <c r="Z999">
        <f t="shared" si="77"/>
        <v>51.831900000000005</v>
      </c>
      <c r="AA999">
        <f t="shared" si="78"/>
        <v>34.331900000000005</v>
      </c>
      <c r="AB999">
        <f t="shared" si="79"/>
        <v>201.18493400000003</v>
      </c>
    </row>
    <row r="1000" spans="1:28" ht="25.5" x14ac:dyDescent="0.25">
      <c r="A1000" s="7">
        <v>999</v>
      </c>
      <c r="B1000" s="7" t="s">
        <v>15</v>
      </c>
      <c r="C1000" s="7" t="s">
        <v>92</v>
      </c>
      <c r="D1000" s="7" t="s">
        <v>1096</v>
      </c>
      <c r="E1000" s="7"/>
      <c r="F1000" s="8"/>
      <c r="G1000" s="7" t="s">
        <v>1096</v>
      </c>
      <c r="H1000" s="9">
        <v>35.612780000000001</v>
      </c>
      <c r="I1000" s="9">
        <v>10.763403</v>
      </c>
      <c r="J1000" s="7" t="s">
        <v>94</v>
      </c>
      <c r="K1000" s="7" t="s">
        <v>37</v>
      </c>
      <c r="L1000" s="7"/>
      <c r="M1000" s="10">
        <v>5.19</v>
      </c>
      <c r="N1000" s="7" t="s">
        <v>74</v>
      </c>
      <c r="O1000" s="7"/>
      <c r="P1000" s="8" t="s">
        <v>39</v>
      </c>
      <c r="Q1000">
        <v>4.6500000000000004</v>
      </c>
      <c r="R1000">
        <v>26</v>
      </c>
      <c r="S1000" t="s">
        <v>58</v>
      </c>
      <c r="T1000">
        <v>10</v>
      </c>
      <c r="U1000">
        <f t="shared" si="75"/>
        <v>46.5</v>
      </c>
      <c r="V1000">
        <v>0.81</v>
      </c>
      <c r="W1000">
        <v>0</v>
      </c>
      <c r="X1000">
        <v>0</v>
      </c>
      <c r="Y1000">
        <f t="shared" si="76"/>
        <v>0</v>
      </c>
      <c r="Z1000">
        <f t="shared" si="77"/>
        <v>37.664999999999999</v>
      </c>
      <c r="AA1000">
        <f t="shared" si="78"/>
        <v>37.664999999999999</v>
      </c>
      <c r="AB1000">
        <f t="shared" si="79"/>
        <v>195.48135000000002</v>
      </c>
    </row>
    <row r="1001" spans="1:28" ht="25.5" x14ac:dyDescent="0.25">
      <c r="A1001" s="7">
        <v>1000</v>
      </c>
      <c r="B1001" s="7" t="s">
        <v>15</v>
      </c>
      <c r="C1001" s="7" t="s">
        <v>95</v>
      </c>
      <c r="D1001" s="7" t="s">
        <v>1097</v>
      </c>
      <c r="E1001" s="7"/>
      <c r="F1001" s="8"/>
      <c r="G1001" s="7" t="s">
        <v>1097</v>
      </c>
      <c r="H1001" s="9">
        <v>36.576641000000002</v>
      </c>
      <c r="I1001" s="9">
        <v>10.887665</v>
      </c>
      <c r="J1001" s="7" t="s">
        <v>97</v>
      </c>
      <c r="K1001" s="7" t="s">
        <v>37</v>
      </c>
      <c r="L1001" s="7"/>
      <c r="M1001" s="10">
        <v>21.42</v>
      </c>
      <c r="N1001" s="7" t="s">
        <v>78</v>
      </c>
      <c r="O1001" s="7"/>
      <c r="P1001" s="8" t="s">
        <v>39</v>
      </c>
      <c r="Q1001">
        <v>2.8</v>
      </c>
      <c r="R1001">
        <v>37.700000000000003</v>
      </c>
      <c r="S1001" t="s">
        <v>40</v>
      </c>
      <c r="T1001">
        <v>14</v>
      </c>
      <c r="U1001">
        <f t="shared" si="75"/>
        <v>39.199999999999996</v>
      </c>
      <c r="V1001">
        <v>0.6</v>
      </c>
      <c r="W1001">
        <v>160</v>
      </c>
      <c r="X1001">
        <v>0.35</v>
      </c>
      <c r="Y1001">
        <f t="shared" si="76"/>
        <v>56</v>
      </c>
      <c r="Z1001">
        <f t="shared" si="77"/>
        <v>23.519999999999996</v>
      </c>
      <c r="AA1001">
        <f t="shared" si="78"/>
        <v>0</v>
      </c>
      <c r="AB1001">
        <f t="shared" si="79"/>
        <v>0</v>
      </c>
    </row>
    <row r="1002" spans="1:28" ht="25.5" x14ac:dyDescent="0.25">
      <c r="A1002" s="7">
        <v>1001</v>
      </c>
      <c r="B1002" s="7" t="s">
        <v>15</v>
      </c>
      <c r="C1002" s="7" t="s">
        <v>98</v>
      </c>
      <c r="D1002" s="7" t="s">
        <v>1098</v>
      </c>
      <c r="E1002" s="7"/>
      <c r="F1002" s="8"/>
      <c r="G1002" s="7" t="s">
        <v>1098</v>
      </c>
      <c r="H1002" s="9">
        <v>34.767598</v>
      </c>
      <c r="I1002" s="9">
        <v>10.499694</v>
      </c>
      <c r="J1002" s="7" t="s">
        <v>100</v>
      </c>
      <c r="K1002" s="7" t="s">
        <v>37</v>
      </c>
      <c r="L1002" s="7"/>
      <c r="M1002" s="10">
        <v>1.55</v>
      </c>
      <c r="N1002" s="7" t="s">
        <v>38</v>
      </c>
      <c r="O1002" s="7"/>
      <c r="P1002" s="8" t="s">
        <v>39</v>
      </c>
      <c r="Q1002">
        <v>7.57</v>
      </c>
      <c r="R1002">
        <v>15.8</v>
      </c>
      <c r="S1002" t="s">
        <v>53</v>
      </c>
      <c r="T1002">
        <v>18</v>
      </c>
      <c r="U1002">
        <f t="shared" si="75"/>
        <v>136.26</v>
      </c>
      <c r="V1002">
        <v>1.1499999999999999</v>
      </c>
      <c r="W1002">
        <v>0</v>
      </c>
      <c r="X1002">
        <v>0</v>
      </c>
      <c r="Y1002">
        <f t="shared" si="76"/>
        <v>0</v>
      </c>
      <c r="Z1002">
        <f t="shared" si="77"/>
        <v>156.69899999999998</v>
      </c>
      <c r="AA1002">
        <f t="shared" si="78"/>
        <v>156.69899999999998</v>
      </c>
      <c r="AB1002">
        <f t="shared" si="79"/>
        <v>242.88344999999998</v>
      </c>
    </row>
    <row r="1003" spans="1:28" ht="25.5" x14ac:dyDescent="0.25">
      <c r="A1003" s="7">
        <v>1002</v>
      </c>
      <c r="B1003" s="7" t="s">
        <v>15</v>
      </c>
      <c r="C1003" s="7" t="s">
        <v>101</v>
      </c>
      <c r="D1003" s="7" t="s">
        <v>1099</v>
      </c>
      <c r="E1003" s="7"/>
      <c r="F1003" s="8"/>
      <c r="G1003" s="7" t="s">
        <v>1099</v>
      </c>
      <c r="H1003" s="9">
        <v>34.912875</v>
      </c>
      <c r="I1003" s="9">
        <v>9.8010750000000009</v>
      </c>
      <c r="J1003" s="7" t="s">
        <v>103</v>
      </c>
      <c r="K1003" s="7" t="s">
        <v>37</v>
      </c>
      <c r="L1003" s="7"/>
      <c r="M1003" s="10">
        <v>9.9499999999999993</v>
      </c>
      <c r="N1003" s="7" t="s">
        <v>44</v>
      </c>
      <c r="O1003" s="7"/>
      <c r="P1003" s="8" t="s">
        <v>39</v>
      </c>
      <c r="Q1003">
        <v>3.45</v>
      </c>
      <c r="R1003">
        <v>43.1</v>
      </c>
      <c r="S1003" t="s">
        <v>40</v>
      </c>
      <c r="T1003">
        <v>18</v>
      </c>
      <c r="U1003">
        <f t="shared" si="75"/>
        <v>62.1</v>
      </c>
      <c r="V1003">
        <v>0.6</v>
      </c>
      <c r="W1003">
        <v>0</v>
      </c>
      <c r="X1003">
        <v>0</v>
      </c>
      <c r="Y1003">
        <f t="shared" si="76"/>
        <v>0</v>
      </c>
      <c r="Z1003">
        <f t="shared" si="77"/>
        <v>37.26</v>
      </c>
      <c r="AA1003">
        <f t="shared" si="78"/>
        <v>37.26</v>
      </c>
      <c r="AB1003">
        <f t="shared" si="79"/>
        <v>370.73699999999997</v>
      </c>
    </row>
    <row r="1004" spans="1:28" ht="25.5" x14ac:dyDescent="0.25">
      <c r="A1004" s="7">
        <v>1003</v>
      </c>
      <c r="B1004" s="7" t="s">
        <v>15</v>
      </c>
      <c r="C1004" s="7" t="s">
        <v>104</v>
      </c>
      <c r="D1004" s="7" t="s">
        <v>1100</v>
      </c>
      <c r="E1004" s="7"/>
      <c r="F1004" s="8"/>
      <c r="G1004" s="7" t="s">
        <v>1100</v>
      </c>
      <c r="H1004" s="9">
        <v>35.856065000000001</v>
      </c>
      <c r="I1004" s="9">
        <v>9.2172630000000009</v>
      </c>
      <c r="J1004" s="7" t="s">
        <v>106</v>
      </c>
      <c r="K1004" s="7" t="s">
        <v>37</v>
      </c>
      <c r="L1004" s="7"/>
      <c r="M1004" s="10">
        <v>21.18</v>
      </c>
      <c r="N1004" s="7" t="s">
        <v>48</v>
      </c>
      <c r="O1004" s="7"/>
      <c r="P1004" s="8" t="s">
        <v>39</v>
      </c>
      <c r="Q1004">
        <v>4.45</v>
      </c>
      <c r="R1004">
        <v>30.9</v>
      </c>
      <c r="S1004" t="s">
        <v>58</v>
      </c>
      <c r="T1004">
        <v>16</v>
      </c>
      <c r="U1004">
        <f t="shared" si="75"/>
        <v>71.2</v>
      </c>
      <c r="V1004">
        <v>0.81</v>
      </c>
      <c r="W1004">
        <v>50</v>
      </c>
      <c r="X1004">
        <v>0.35</v>
      </c>
      <c r="Y1004">
        <f t="shared" si="76"/>
        <v>17.5</v>
      </c>
      <c r="Z1004">
        <f t="shared" si="77"/>
        <v>57.672000000000004</v>
      </c>
      <c r="AA1004">
        <f t="shared" si="78"/>
        <v>40.172000000000004</v>
      </c>
      <c r="AB1004">
        <f t="shared" si="79"/>
        <v>850.84296000000006</v>
      </c>
    </row>
    <row r="1005" spans="1:28" ht="25.5" x14ac:dyDescent="0.25">
      <c r="A1005" s="7">
        <v>1004</v>
      </c>
      <c r="B1005" s="7" t="s">
        <v>15</v>
      </c>
      <c r="C1005" s="7" t="s">
        <v>107</v>
      </c>
      <c r="D1005" s="7" t="s">
        <v>1101</v>
      </c>
      <c r="E1005" s="7"/>
      <c r="F1005" s="8"/>
      <c r="G1005" s="7" t="s">
        <v>1101</v>
      </c>
      <c r="H1005" s="9">
        <v>36.134757999999998</v>
      </c>
      <c r="I1005" s="9">
        <v>10.39865</v>
      </c>
      <c r="J1005" s="7" t="s">
        <v>109</v>
      </c>
      <c r="K1005" s="7" t="s">
        <v>37</v>
      </c>
      <c r="L1005" s="7"/>
      <c r="M1005" s="10">
        <v>12.75</v>
      </c>
      <c r="N1005" s="7" t="s">
        <v>52</v>
      </c>
      <c r="O1005" s="7"/>
      <c r="P1005" s="8" t="s">
        <v>39</v>
      </c>
      <c r="Q1005">
        <v>7.73</v>
      </c>
      <c r="R1005">
        <v>10.8</v>
      </c>
      <c r="S1005" t="s">
        <v>91</v>
      </c>
      <c r="T1005">
        <v>12</v>
      </c>
      <c r="U1005">
        <f t="shared" si="75"/>
        <v>92.76</v>
      </c>
      <c r="V1005">
        <v>1.49</v>
      </c>
      <c r="W1005">
        <v>120</v>
      </c>
      <c r="X1005">
        <v>0.35</v>
      </c>
      <c r="Y1005">
        <f t="shared" si="76"/>
        <v>42</v>
      </c>
      <c r="Z1005">
        <f t="shared" si="77"/>
        <v>138.2124</v>
      </c>
      <c r="AA1005">
        <f t="shared" si="78"/>
        <v>96.212400000000002</v>
      </c>
      <c r="AB1005">
        <f t="shared" si="79"/>
        <v>1226.7081000000001</v>
      </c>
    </row>
    <row r="1006" spans="1:28" ht="25.5" x14ac:dyDescent="0.25">
      <c r="A1006" s="7">
        <v>1005</v>
      </c>
      <c r="B1006" s="7" t="s">
        <v>15</v>
      </c>
      <c r="C1006" s="7" t="s">
        <v>110</v>
      </c>
      <c r="D1006" s="7" t="s">
        <v>1102</v>
      </c>
      <c r="E1006" s="7"/>
      <c r="F1006" s="8"/>
      <c r="G1006" s="7" t="s">
        <v>1102</v>
      </c>
      <c r="H1006" s="9">
        <v>33.142386000000002</v>
      </c>
      <c r="I1006" s="9">
        <v>10.241904</v>
      </c>
      <c r="J1006" s="7" t="s">
        <v>112</v>
      </c>
      <c r="K1006" s="7" t="s">
        <v>37</v>
      </c>
      <c r="L1006" s="7"/>
      <c r="M1006" s="10">
        <v>12.23</v>
      </c>
      <c r="N1006" s="7" t="s">
        <v>57</v>
      </c>
      <c r="O1006" s="7"/>
      <c r="P1006" s="8" t="s">
        <v>39</v>
      </c>
      <c r="Q1006">
        <v>5.39</v>
      </c>
      <c r="R1006">
        <v>39.200000000000003</v>
      </c>
      <c r="S1006" t="s">
        <v>40</v>
      </c>
      <c r="T1006">
        <v>8</v>
      </c>
      <c r="U1006">
        <f t="shared" si="75"/>
        <v>43.12</v>
      </c>
      <c r="V1006">
        <v>0.72</v>
      </c>
      <c r="W1006">
        <v>0</v>
      </c>
      <c r="X1006">
        <v>0</v>
      </c>
      <c r="Y1006">
        <f t="shared" si="76"/>
        <v>0</v>
      </c>
      <c r="Z1006">
        <f t="shared" si="77"/>
        <v>31.046399999999998</v>
      </c>
      <c r="AA1006">
        <f t="shared" si="78"/>
        <v>31.046399999999998</v>
      </c>
      <c r="AB1006">
        <f t="shared" si="79"/>
        <v>379.697472</v>
      </c>
    </row>
    <row r="1007" spans="1:28" ht="25.5" x14ac:dyDescent="0.25">
      <c r="A1007" s="7">
        <v>1006</v>
      </c>
      <c r="B1007" s="7" t="s">
        <v>15</v>
      </c>
      <c r="C1007" s="7" t="s">
        <v>113</v>
      </c>
      <c r="D1007" s="7" t="s">
        <v>1103</v>
      </c>
      <c r="E1007" s="7"/>
      <c r="F1007" s="8"/>
      <c r="G1007" s="7" t="s">
        <v>1103</v>
      </c>
      <c r="H1007" s="9">
        <v>33.847451</v>
      </c>
      <c r="I1007" s="9">
        <v>7.8960600000000003</v>
      </c>
      <c r="J1007" s="7" t="s">
        <v>115</v>
      </c>
      <c r="K1007" s="7" t="s">
        <v>37</v>
      </c>
      <c r="L1007" s="7"/>
      <c r="M1007" s="10">
        <v>14.84</v>
      </c>
      <c r="N1007" s="7" t="s">
        <v>62</v>
      </c>
      <c r="O1007" s="7"/>
      <c r="P1007" s="8" t="s">
        <v>39</v>
      </c>
      <c r="Q1007">
        <v>6.58</v>
      </c>
      <c r="R1007">
        <v>38.799999999999997</v>
      </c>
      <c r="S1007" t="s">
        <v>40</v>
      </c>
      <c r="T1007">
        <v>7</v>
      </c>
      <c r="U1007">
        <f t="shared" si="75"/>
        <v>46.06</v>
      </c>
      <c r="V1007">
        <v>0.66</v>
      </c>
      <c r="W1007">
        <v>0</v>
      </c>
      <c r="X1007">
        <v>0</v>
      </c>
      <c r="Y1007">
        <f t="shared" si="76"/>
        <v>0</v>
      </c>
      <c r="Z1007">
        <f t="shared" si="77"/>
        <v>30.399600000000003</v>
      </c>
      <c r="AA1007">
        <f t="shared" si="78"/>
        <v>30.399600000000003</v>
      </c>
      <c r="AB1007">
        <f t="shared" si="79"/>
        <v>451.13006400000006</v>
      </c>
    </row>
    <row r="1008" spans="1:28" ht="25.5" x14ac:dyDescent="0.25">
      <c r="A1008" s="7">
        <v>1007</v>
      </c>
      <c r="B1008" s="7" t="s">
        <v>15</v>
      </c>
      <c r="C1008" s="7" t="s">
        <v>116</v>
      </c>
      <c r="D1008" s="7" t="s">
        <v>1104</v>
      </c>
      <c r="E1008" s="7"/>
      <c r="F1008" s="8"/>
      <c r="G1008" s="7" t="s">
        <v>1104</v>
      </c>
      <c r="H1008" s="9">
        <v>36.843259000000003</v>
      </c>
      <c r="I1008" s="9">
        <v>10.327764</v>
      </c>
      <c r="J1008" s="7" t="s">
        <v>118</v>
      </c>
      <c r="K1008" s="7" t="s">
        <v>37</v>
      </c>
      <c r="L1008" s="7"/>
      <c r="M1008" s="10">
        <v>14.15</v>
      </c>
      <c r="N1008" s="7" t="s">
        <v>66</v>
      </c>
      <c r="O1008" s="7"/>
      <c r="P1008" s="8" t="s">
        <v>39</v>
      </c>
      <c r="Q1008">
        <v>2.69</v>
      </c>
      <c r="R1008">
        <v>14</v>
      </c>
      <c r="S1008" t="s">
        <v>91</v>
      </c>
      <c r="T1008">
        <v>10</v>
      </c>
      <c r="U1008">
        <f t="shared" si="75"/>
        <v>26.9</v>
      </c>
      <c r="V1008">
        <v>1.08</v>
      </c>
      <c r="W1008">
        <v>120</v>
      </c>
      <c r="X1008">
        <v>0.35</v>
      </c>
      <c r="Y1008">
        <f t="shared" si="76"/>
        <v>42</v>
      </c>
      <c r="Z1008">
        <f t="shared" si="77"/>
        <v>29.052</v>
      </c>
      <c r="AA1008">
        <f t="shared" si="78"/>
        <v>0</v>
      </c>
      <c r="AB1008">
        <f t="shared" si="79"/>
        <v>0</v>
      </c>
    </row>
    <row r="1009" spans="1:28" ht="25.5" x14ac:dyDescent="0.25">
      <c r="A1009" s="7">
        <v>1008</v>
      </c>
      <c r="B1009" s="7" t="s">
        <v>15</v>
      </c>
      <c r="C1009" s="7" t="s">
        <v>119</v>
      </c>
      <c r="D1009" s="7" t="s">
        <v>1105</v>
      </c>
      <c r="E1009" s="7"/>
      <c r="F1009" s="8"/>
      <c r="G1009" s="7" t="s">
        <v>1105</v>
      </c>
      <c r="H1009" s="9">
        <v>36.405296999999997</v>
      </c>
      <c r="I1009" s="9">
        <v>9.6154480000000007</v>
      </c>
      <c r="J1009" s="7" t="s">
        <v>121</v>
      </c>
      <c r="K1009" s="7" t="s">
        <v>37</v>
      </c>
      <c r="L1009" s="7"/>
      <c r="M1009" s="10">
        <v>2.78</v>
      </c>
      <c r="N1009" s="7" t="s">
        <v>70</v>
      </c>
      <c r="O1009" s="7"/>
      <c r="P1009" s="8" t="s">
        <v>39</v>
      </c>
      <c r="Q1009">
        <v>5.0599999999999996</v>
      </c>
      <c r="R1009">
        <v>30.7</v>
      </c>
      <c r="S1009" t="s">
        <v>58</v>
      </c>
      <c r="T1009">
        <v>9</v>
      </c>
      <c r="U1009">
        <f t="shared" si="75"/>
        <v>45.54</v>
      </c>
      <c r="V1009">
        <v>0.81</v>
      </c>
      <c r="W1009">
        <v>160</v>
      </c>
      <c r="X1009">
        <v>0.35</v>
      </c>
      <c r="Y1009">
        <f t="shared" si="76"/>
        <v>56</v>
      </c>
      <c r="Z1009">
        <f t="shared" si="77"/>
        <v>36.8874</v>
      </c>
      <c r="AA1009">
        <f t="shared" si="78"/>
        <v>0</v>
      </c>
      <c r="AB1009">
        <f t="shared" si="79"/>
        <v>0</v>
      </c>
    </row>
    <row r="1010" spans="1:28" ht="25.5" x14ac:dyDescent="0.25">
      <c r="A1010" s="7">
        <v>1009</v>
      </c>
      <c r="B1010" s="7" t="s">
        <v>15</v>
      </c>
      <c r="C1010" s="7" t="s">
        <v>34</v>
      </c>
      <c r="D1010" s="7" t="s">
        <v>1106</v>
      </c>
      <c r="E1010" s="7"/>
      <c r="F1010" s="8"/>
      <c r="G1010" s="7" t="s">
        <v>1106</v>
      </c>
      <c r="H1010" s="9">
        <v>36.912900999999998</v>
      </c>
      <c r="I1010" s="9">
        <v>10.217618999999999</v>
      </c>
      <c r="J1010" s="7" t="s">
        <v>36</v>
      </c>
      <c r="K1010" s="7" t="s">
        <v>37</v>
      </c>
      <c r="L1010" s="7"/>
      <c r="M1010" s="10">
        <v>24.61</v>
      </c>
      <c r="N1010" s="7" t="s">
        <v>74</v>
      </c>
      <c r="O1010" s="7"/>
      <c r="P1010" s="8" t="s">
        <v>39</v>
      </c>
      <c r="Q1010">
        <v>5.63</v>
      </c>
      <c r="R1010">
        <v>40.1</v>
      </c>
      <c r="S1010" t="s">
        <v>40</v>
      </c>
      <c r="T1010">
        <v>10</v>
      </c>
      <c r="U1010">
        <f t="shared" si="75"/>
        <v>56.3</v>
      </c>
      <c r="V1010">
        <v>0.54</v>
      </c>
      <c r="W1010">
        <v>0</v>
      </c>
      <c r="X1010">
        <v>0</v>
      </c>
      <c r="Y1010">
        <f t="shared" si="76"/>
        <v>0</v>
      </c>
      <c r="Z1010">
        <f t="shared" si="77"/>
        <v>30.402000000000001</v>
      </c>
      <c r="AA1010">
        <f t="shared" si="78"/>
        <v>30.402000000000001</v>
      </c>
      <c r="AB1010">
        <f t="shared" si="79"/>
        <v>748.19322</v>
      </c>
    </row>
    <row r="1011" spans="1:28" ht="25.5" x14ac:dyDescent="0.25">
      <c r="A1011" s="7">
        <v>1010</v>
      </c>
      <c r="B1011" s="7" t="s">
        <v>15</v>
      </c>
      <c r="C1011" s="7" t="s">
        <v>41</v>
      </c>
      <c r="D1011" s="7" t="s">
        <v>1107</v>
      </c>
      <c r="E1011" s="7"/>
      <c r="F1011" s="8"/>
      <c r="G1011" s="7" t="s">
        <v>1107</v>
      </c>
      <c r="H1011" s="9">
        <v>36.625936000000003</v>
      </c>
      <c r="I1011" s="9">
        <v>9.6212800000000005</v>
      </c>
      <c r="J1011" s="7" t="s">
        <v>43</v>
      </c>
      <c r="K1011" s="7" t="s">
        <v>37</v>
      </c>
      <c r="L1011" s="7"/>
      <c r="M1011" s="10">
        <v>7.72</v>
      </c>
      <c r="N1011" s="7" t="s">
        <v>78</v>
      </c>
      <c r="O1011" s="7"/>
      <c r="P1011" s="8" t="s">
        <v>39</v>
      </c>
      <c r="Q1011">
        <v>3.31</v>
      </c>
      <c r="R1011">
        <v>16.2</v>
      </c>
      <c r="S1011" t="s">
        <v>53</v>
      </c>
      <c r="T1011">
        <v>14</v>
      </c>
      <c r="U1011">
        <f t="shared" si="75"/>
        <v>46.34</v>
      </c>
      <c r="V1011">
        <v>1.1499999999999999</v>
      </c>
      <c r="W1011">
        <v>0</v>
      </c>
      <c r="X1011">
        <v>0</v>
      </c>
      <c r="Y1011">
        <f t="shared" si="76"/>
        <v>0</v>
      </c>
      <c r="Z1011">
        <f t="shared" si="77"/>
        <v>53.290999999999997</v>
      </c>
      <c r="AA1011">
        <f t="shared" si="78"/>
        <v>53.290999999999997</v>
      </c>
      <c r="AB1011">
        <f t="shared" si="79"/>
        <v>411.40651999999994</v>
      </c>
    </row>
    <row r="1012" spans="1:28" ht="25.5" x14ac:dyDescent="0.25">
      <c r="A1012" s="7">
        <v>1011</v>
      </c>
      <c r="B1012" s="7" t="s">
        <v>15</v>
      </c>
      <c r="C1012" s="7" t="s">
        <v>45</v>
      </c>
      <c r="D1012" s="7" t="s">
        <v>1108</v>
      </c>
      <c r="E1012" s="7"/>
      <c r="F1012" s="8"/>
      <c r="G1012" s="7" t="s">
        <v>1108</v>
      </c>
      <c r="H1012" s="9">
        <v>36.609473999999999</v>
      </c>
      <c r="I1012" s="9">
        <v>10.292901000000001</v>
      </c>
      <c r="J1012" s="7" t="s">
        <v>47</v>
      </c>
      <c r="K1012" s="7" t="s">
        <v>37</v>
      </c>
      <c r="L1012" s="7"/>
      <c r="M1012" s="10">
        <v>18.670000000000002</v>
      </c>
      <c r="N1012" s="7" t="s">
        <v>38</v>
      </c>
      <c r="O1012" s="7"/>
      <c r="P1012" s="8" t="s">
        <v>39</v>
      </c>
      <c r="Q1012">
        <v>6.42</v>
      </c>
      <c r="R1012">
        <v>15.6</v>
      </c>
      <c r="S1012" t="s">
        <v>53</v>
      </c>
      <c r="T1012">
        <v>18</v>
      </c>
      <c r="U1012">
        <f t="shared" si="75"/>
        <v>115.56</v>
      </c>
      <c r="V1012">
        <v>1.1499999999999999</v>
      </c>
      <c r="W1012">
        <v>0</v>
      </c>
      <c r="X1012">
        <v>0</v>
      </c>
      <c r="Y1012">
        <f t="shared" si="76"/>
        <v>0</v>
      </c>
      <c r="Z1012">
        <f t="shared" si="77"/>
        <v>132.89400000000001</v>
      </c>
      <c r="AA1012">
        <f t="shared" si="78"/>
        <v>132.89400000000001</v>
      </c>
      <c r="AB1012">
        <f t="shared" si="79"/>
        <v>2481.1309800000004</v>
      </c>
    </row>
    <row r="1013" spans="1:28" ht="25.5" x14ac:dyDescent="0.25">
      <c r="A1013" s="7">
        <v>1012</v>
      </c>
      <c r="B1013" s="7" t="s">
        <v>15</v>
      </c>
      <c r="C1013" s="7" t="s">
        <v>49</v>
      </c>
      <c r="D1013" s="7" t="s">
        <v>1109</v>
      </c>
      <c r="E1013" s="7"/>
      <c r="F1013" s="8"/>
      <c r="G1013" s="7" t="s">
        <v>1109</v>
      </c>
      <c r="H1013" s="9">
        <v>37.166617000000002</v>
      </c>
      <c r="I1013" s="9">
        <v>9.7732930000000007</v>
      </c>
      <c r="J1013" s="7" t="s">
        <v>51</v>
      </c>
      <c r="K1013" s="7" t="s">
        <v>37</v>
      </c>
      <c r="L1013" s="7"/>
      <c r="M1013" s="10">
        <v>15.28</v>
      </c>
      <c r="N1013" s="7" t="s">
        <v>44</v>
      </c>
      <c r="O1013" s="7"/>
      <c r="P1013" s="8" t="s">
        <v>39</v>
      </c>
      <c r="Q1013">
        <v>6.42</v>
      </c>
      <c r="R1013">
        <v>29.6</v>
      </c>
      <c r="S1013" t="s">
        <v>58</v>
      </c>
      <c r="T1013">
        <v>18</v>
      </c>
      <c r="U1013">
        <f t="shared" si="75"/>
        <v>115.56</v>
      </c>
      <c r="V1013">
        <v>0.9</v>
      </c>
      <c r="W1013">
        <v>50</v>
      </c>
      <c r="X1013">
        <v>0.35</v>
      </c>
      <c r="Y1013">
        <f t="shared" si="76"/>
        <v>17.5</v>
      </c>
      <c r="Z1013">
        <f t="shared" si="77"/>
        <v>104.004</v>
      </c>
      <c r="AA1013">
        <f t="shared" si="78"/>
        <v>86.504000000000005</v>
      </c>
      <c r="AB1013">
        <f t="shared" si="79"/>
        <v>1321.7811200000001</v>
      </c>
    </row>
    <row r="1014" spans="1:28" ht="25.5" x14ac:dyDescent="0.25">
      <c r="A1014" s="7">
        <v>1013</v>
      </c>
      <c r="B1014" s="7" t="s">
        <v>15</v>
      </c>
      <c r="C1014" s="7" t="s">
        <v>54</v>
      </c>
      <c r="D1014" s="7" t="s">
        <v>1110</v>
      </c>
      <c r="E1014" s="7"/>
      <c r="F1014" s="8"/>
      <c r="G1014" s="7" t="s">
        <v>1110</v>
      </c>
      <c r="H1014" s="9">
        <v>33.611032999999999</v>
      </c>
      <c r="I1014" s="9">
        <v>10.266870000000001</v>
      </c>
      <c r="J1014" s="7" t="s">
        <v>56</v>
      </c>
      <c r="K1014" s="7" t="s">
        <v>37</v>
      </c>
      <c r="L1014" s="7"/>
      <c r="M1014" s="10">
        <v>7.26</v>
      </c>
      <c r="N1014" s="7" t="s">
        <v>48</v>
      </c>
      <c r="O1014" s="7"/>
      <c r="P1014" s="8" t="s">
        <v>39</v>
      </c>
      <c r="Q1014">
        <v>3.85</v>
      </c>
      <c r="R1014">
        <v>37.9</v>
      </c>
      <c r="S1014" t="s">
        <v>40</v>
      </c>
      <c r="T1014">
        <v>16</v>
      </c>
      <c r="U1014">
        <f t="shared" si="75"/>
        <v>61.6</v>
      </c>
      <c r="V1014">
        <v>0.54</v>
      </c>
      <c r="W1014">
        <v>120</v>
      </c>
      <c r="X1014">
        <v>0.35</v>
      </c>
      <c r="Y1014">
        <f t="shared" si="76"/>
        <v>42</v>
      </c>
      <c r="Z1014">
        <f t="shared" si="77"/>
        <v>33.264000000000003</v>
      </c>
      <c r="AA1014">
        <f t="shared" si="78"/>
        <v>0</v>
      </c>
      <c r="AB1014">
        <f t="shared" si="79"/>
        <v>0</v>
      </c>
    </row>
    <row r="1015" spans="1:28" ht="25.5" x14ac:dyDescent="0.25">
      <c r="A1015" s="7">
        <v>1014</v>
      </c>
      <c r="B1015" s="7" t="s">
        <v>15</v>
      </c>
      <c r="C1015" s="7" t="s">
        <v>59</v>
      </c>
      <c r="D1015" s="7" t="s">
        <v>1111</v>
      </c>
      <c r="E1015" s="7"/>
      <c r="F1015" s="8"/>
      <c r="G1015" s="7" t="s">
        <v>1111</v>
      </c>
      <c r="H1015" s="9">
        <v>34.323644999999999</v>
      </c>
      <c r="I1015" s="9">
        <v>8.3888289999999994</v>
      </c>
      <c r="J1015" s="7" t="s">
        <v>61</v>
      </c>
      <c r="K1015" s="7" t="s">
        <v>37</v>
      </c>
      <c r="L1015" s="7"/>
      <c r="M1015" s="10">
        <v>15.2</v>
      </c>
      <c r="N1015" s="7" t="s">
        <v>52</v>
      </c>
      <c r="O1015" s="7"/>
      <c r="P1015" s="8" t="s">
        <v>39</v>
      </c>
      <c r="Q1015">
        <v>5.69</v>
      </c>
      <c r="R1015">
        <v>35</v>
      </c>
      <c r="S1015" t="s">
        <v>40</v>
      </c>
      <c r="T1015">
        <v>12</v>
      </c>
      <c r="U1015">
        <f t="shared" si="75"/>
        <v>68.28</v>
      </c>
      <c r="V1015">
        <v>0.66</v>
      </c>
      <c r="W1015">
        <v>0</v>
      </c>
      <c r="X1015">
        <v>0</v>
      </c>
      <c r="Y1015">
        <f t="shared" si="76"/>
        <v>0</v>
      </c>
      <c r="Z1015">
        <f t="shared" si="77"/>
        <v>45.064800000000005</v>
      </c>
      <c r="AA1015">
        <f t="shared" si="78"/>
        <v>45.064800000000005</v>
      </c>
      <c r="AB1015">
        <f t="shared" si="79"/>
        <v>684.98496</v>
      </c>
    </row>
    <row r="1016" spans="1:28" ht="25.5" x14ac:dyDescent="0.25">
      <c r="A1016" s="7">
        <v>1015</v>
      </c>
      <c r="B1016" s="7" t="s">
        <v>15</v>
      </c>
      <c r="C1016" s="7" t="s">
        <v>63</v>
      </c>
      <c r="D1016" s="7" t="s">
        <v>1112</v>
      </c>
      <c r="E1016" s="7"/>
      <c r="F1016" s="8"/>
      <c r="G1016" s="7" t="s">
        <v>1112</v>
      </c>
      <c r="H1016" s="9">
        <v>36.962102000000002</v>
      </c>
      <c r="I1016" s="9">
        <v>8.7328759999999992</v>
      </c>
      <c r="J1016" s="7" t="s">
        <v>65</v>
      </c>
      <c r="K1016" s="7" t="s">
        <v>37</v>
      </c>
      <c r="L1016" s="7"/>
      <c r="M1016" s="10">
        <v>20.04</v>
      </c>
      <c r="N1016" s="7" t="s">
        <v>57</v>
      </c>
      <c r="O1016" s="7"/>
      <c r="P1016" s="8" t="s">
        <v>39</v>
      </c>
      <c r="Q1016">
        <v>3.03</v>
      </c>
      <c r="R1016">
        <v>19.2</v>
      </c>
      <c r="S1016" t="s">
        <v>53</v>
      </c>
      <c r="T1016">
        <v>8</v>
      </c>
      <c r="U1016">
        <f t="shared" si="75"/>
        <v>24.24</v>
      </c>
      <c r="V1016">
        <v>1.38</v>
      </c>
      <c r="W1016">
        <v>160</v>
      </c>
      <c r="X1016">
        <v>0.35</v>
      </c>
      <c r="Y1016">
        <f t="shared" si="76"/>
        <v>56</v>
      </c>
      <c r="Z1016">
        <f t="shared" si="77"/>
        <v>33.451199999999993</v>
      </c>
      <c r="AA1016">
        <f t="shared" si="78"/>
        <v>0</v>
      </c>
      <c r="AB1016">
        <f t="shared" si="79"/>
        <v>0</v>
      </c>
    </row>
    <row r="1017" spans="1:28" ht="25.5" x14ac:dyDescent="0.25">
      <c r="A1017" s="7">
        <v>1016</v>
      </c>
      <c r="B1017" s="7" t="s">
        <v>15</v>
      </c>
      <c r="C1017" s="7" t="s">
        <v>67</v>
      </c>
      <c r="D1017" s="7" t="s">
        <v>1113</v>
      </c>
      <c r="E1017" s="7"/>
      <c r="F1017" s="8"/>
      <c r="G1017" s="7" t="s">
        <v>1113</v>
      </c>
      <c r="H1017" s="9">
        <v>35.599265000000003</v>
      </c>
      <c r="I1017" s="9">
        <v>9.9103980000000007</v>
      </c>
      <c r="J1017" s="7" t="s">
        <v>69</v>
      </c>
      <c r="K1017" s="7" t="s">
        <v>37</v>
      </c>
      <c r="L1017" s="7"/>
      <c r="M1017" s="10">
        <v>13.12</v>
      </c>
      <c r="N1017" s="7" t="s">
        <v>62</v>
      </c>
      <c r="O1017" s="7"/>
      <c r="P1017" s="8" t="s">
        <v>39</v>
      </c>
      <c r="Q1017">
        <v>7.12</v>
      </c>
      <c r="R1017">
        <v>18.3</v>
      </c>
      <c r="S1017" t="s">
        <v>53</v>
      </c>
      <c r="T1017">
        <v>7</v>
      </c>
      <c r="U1017">
        <f t="shared" si="75"/>
        <v>49.84</v>
      </c>
      <c r="V1017">
        <v>1.26</v>
      </c>
      <c r="W1017">
        <v>0</v>
      </c>
      <c r="X1017">
        <v>0</v>
      </c>
      <c r="Y1017">
        <f t="shared" si="76"/>
        <v>0</v>
      </c>
      <c r="Z1017">
        <f t="shared" si="77"/>
        <v>62.798400000000008</v>
      </c>
      <c r="AA1017">
        <f t="shared" si="78"/>
        <v>62.798400000000008</v>
      </c>
      <c r="AB1017">
        <f t="shared" si="79"/>
        <v>823.91500800000006</v>
      </c>
    </row>
    <row r="1018" spans="1:28" ht="25.5" x14ac:dyDescent="0.25">
      <c r="A1018" s="7">
        <v>1017</v>
      </c>
      <c r="B1018" s="7" t="s">
        <v>15</v>
      </c>
      <c r="C1018" s="7" t="s">
        <v>71</v>
      </c>
      <c r="D1018" s="7" t="s">
        <v>1114</v>
      </c>
      <c r="E1018" s="7"/>
      <c r="F1018" s="8"/>
      <c r="G1018" s="7" t="s">
        <v>1114</v>
      </c>
      <c r="H1018" s="9">
        <v>35.248776999999997</v>
      </c>
      <c r="I1018" s="9">
        <v>9.1169910000000005</v>
      </c>
      <c r="J1018" s="7" t="s">
        <v>73</v>
      </c>
      <c r="K1018" s="7" t="s">
        <v>37</v>
      </c>
      <c r="L1018" s="7"/>
      <c r="M1018" s="10">
        <v>7.84</v>
      </c>
      <c r="N1018" s="7" t="s">
        <v>66</v>
      </c>
      <c r="O1018" s="7"/>
      <c r="P1018" s="8" t="s">
        <v>39</v>
      </c>
      <c r="Q1018">
        <v>7.35</v>
      </c>
      <c r="R1018">
        <v>24.9</v>
      </c>
      <c r="S1018" t="s">
        <v>53</v>
      </c>
      <c r="T1018">
        <v>10</v>
      </c>
      <c r="U1018">
        <f t="shared" si="75"/>
        <v>73.5</v>
      </c>
      <c r="V1018">
        <v>0.92</v>
      </c>
      <c r="W1018">
        <v>120</v>
      </c>
      <c r="X1018">
        <v>0.35</v>
      </c>
      <c r="Y1018">
        <f t="shared" si="76"/>
        <v>42</v>
      </c>
      <c r="Z1018">
        <f t="shared" si="77"/>
        <v>67.62</v>
      </c>
      <c r="AA1018">
        <f t="shared" si="78"/>
        <v>25.620000000000005</v>
      </c>
      <c r="AB1018">
        <f t="shared" si="79"/>
        <v>200.86080000000004</v>
      </c>
    </row>
    <row r="1019" spans="1:28" ht="25.5" x14ac:dyDescent="0.25">
      <c r="A1019" s="7">
        <v>1018</v>
      </c>
      <c r="B1019" s="7" t="s">
        <v>15</v>
      </c>
      <c r="C1019" s="7" t="s">
        <v>75</v>
      </c>
      <c r="D1019" s="7" t="s">
        <v>1115</v>
      </c>
      <c r="E1019" s="7"/>
      <c r="F1019" s="8"/>
      <c r="G1019" s="7" t="s">
        <v>1115</v>
      </c>
      <c r="H1019" s="9">
        <v>33.490912000000002</v>
      </c>
      <c r="I1019" s="9">
        <v>8.9970730000000003</v>
      </c>
      <c r="J1019" s="7" t="s">
        <v>77</v>
      </c>
      <c r="K1019" s="7" t="s">
        <v>37</v>
      </c>
      <c r="L1019" s="7"/>
      <c r="M1019" s="10">
        <v>4.78</v>
      </c>
      <c r="N1019" s="7" t="s">
        <v>70</v>
      </c>
      <c r="O1019" s="7"/>
      <c r="P1019" s="8" t="s">
        <v>39</v>
      </c>
      <c r="Q1019">
        <v>6.9</v>
      </c>
      <c r="R1019">
        <v>15.6</v>
      </c>
      <c r="S1019" t="s">
        <v>53</v>
      </c>
      <c r="T1019">
        <v>9</v>
      </c>
      <c r="U1019">
        <f t="shared" si="75"/>
        <v>62.1</v>
      </c>
      <c r="V1019">
        <v>1.03</v>
      </c>
      <c r="W1019">
        <v>50</v>
      </c>
      <c r="X1019">
        <v>0.35</v>
      </c>
      <c r="Y1019">
        <f t="shared" si="76"/>
        <v>17.5</v>
      </c>
      <c r="Z1019">
        <f t="shared" si="77"/>
        <v>63.963000000000001</v>
      </c>
      <c r="AA1019">
        <f t="shared" si="78"/>
        <v>46.463000000000001</v>
      </c>
      <c r="AB1019">
        <f t="shared" si="79"/>
        <v>222.09314000000001</v>
      </c>
    </row>
    <row r="1020" spans="1:28" ht="25.5" x14ac:dyDescent="0.25">
      <c r="A1020" s="7">
        <v>1019</v>
      </c>
      <c r="B1020" s="7" t="s">
        <v>15</v>
      </c>
      <c r="C1020" s="7" t="s">
        <v>79</v>
      </c>
      <c r="D1020" s="7" t="s">
        <v>1116</v>
      </c>
      <c r="E1020" s="7"/>
      <c r="F1020" s="8"/>
      <c r="G1020" s="7" t="s">
        <v>1116</v>
      </c>
      <c r="H1020" s="9">
        <v>35.95288</v>
      </c>
      <c r="I1020" s="9">
        <v>8.8460169999999998</v>
      </c>
      <c r="J1020" s="7" t="s">
        <v>81</v>
      </c>
      <c r="K1020" s="7" t="s">
        <v>37</v>
      </c>
      <c r="L1020" s="7"/>
      <c r="M1020" s="10">
        <v>13.64</v>
      </c>
      <c r="N1020" s="7" t="s">
        <v>74</v>
      </c>
      <c r="O1020" s="7"/>
      <c r="P1020" s="8" t="s">
        <v>39</v>
      </c>
      <c r="Q1020">
        <v>6.57</v>
      </c>
      <c r="R1020">
        <v>35</v>
      </c>
      <c r="S1020" t="s">
        <v>40</v>
      </c>
      <c r="T1020">
        <v>10</v>
      </c>
      <c r="U1020">
        <f t="shared" si="75"/>
        <v>65.7</v>
      </c>
      <c r="V1020">
        <v>0.54</v>
      </c>
      <c r="W1020">
        <v>160</v>
      </c>
      <c r="X1020">
        <v>0.35</v>
      </c>
      <c r="Y1020">
        <f t="shared" si="76"/>
        <v>56</v>
      </c>
      <c r="Z1020">
        <f t="shared" si="77"/>
        <v>35.478000000000002</v>
      </c>
      <c r="AA1020">
        <f t="shared" si="78"/>
        <v>0</v>
      </c>
      <c r="AB1020">
        <f t="shared" si="79"/>
        <v>0</v>
      </c>
    </row>
    <row r="1021" spans="1:28" ht="25.5" x14ac:dyDescent="0.25">
      <c r="A1021" s="7">
        <v>1020</v>
      </c>
      <c r="B1021" s="7" t="s">
        <v>15</v>
      </c>
      <c r="C1021" s="7" t="s">
        <v>82</v>
      </c>
      <c r="D1021" s="7" t="s">
        <v>1117</v>
      </c>
      <c r="E1021" s="7"/>
      <c r="F1021" s="8"/>
      <c r="G1021" s="7" t="s">
        <v>1117</v>
      </c>
      <c r="H1021" s="9">
        <v>35.244861</v>
      </c>
      <c r="I1021" s="9">
        <v>11.114565000000001</v>
      </c>
      <c r="J1021" s="7" t="s">
        <v>84</v>
      </c>
      <c r="K1021" s="7" t="s">
        <v>37</v>
      </c>
      <c r="L1021" s="7"/>
      <c r="M1021" s="10">
        <v>4.03</v>
      </c>
      <c r="N1021" s="7" t="s">
        <v>78</v>
      </c>
      <c r="O1021" s="7"/>
      <c r="P1021" s="8" t="s">
        <v>39</v>
      </c>
      <c r="Q1021">
        <v>7.62</v>
      </c>
      <c r="R1021">
        <v>32.700000000000003</v>
      </c>
      <c r="S1021" t="s">
        <v>58</v>
      </c>
      <c r="T1021">
        <v>14</v>
      </c>
      <c r="U1021">
        <f t="shared" si="75"/>
        <v>106.68</v>
      </c>
      <c r="V1021">
        <v>0.9</v>
      </c>
      <c r="W1021">
        <v>80</v>
      </c>
      <c r="X1021">
        <v>0.35</v>
      </c>
      <c r="Y1021">
        <f t="shared" si="76"/>
        <v>28</v>
      </c>
      <c r="Z1021">
        <f t="shared" si="77"/>
        <v>96.012000000000015</v>
      </c>
      <c r="AA1021">
        <f t="shared" si="78"/>
        <v>68.012000000000015</v>
      </c>
      <c r="AB1021">
        <f t="shared" si="79"/>
        <v>274.08836000000008</v>
      </c>
    </row>
    <row r="1022" spans="1:28" ht="25.5" x14ac:dyDescent="0.25">
      <c r="A1022" s="7">
        <v>1021</v>
      </c>
      <c r="B1022" s="7" t="s">
        <v>15</v>
      </c>
      <c r="C1022" s="7" t="s">
        <v>85</v>
      </c>
      <c r="D1022" s="7" t="s">
        <v>1118</v>
      </c>
      <c r="E1022" s="7"/>
      <c r="F1022" s="8"/>
      <c r="G1022" s="7" t="s">
        <v>1118</v>
      </c>
      <c r="H1022" s="9">
        <v>36.814031999999997</v>
      </c>
      <c r="I1022" s="9">
        <v>9.8571790000000004</v>
      </c>
      <c r="J1022" s="7" t="s">
        <v>87</v>
      </c>
      <c r="K1022" s="7" t="s">
        <v>37</v>
      </c>
      <c r="L1022" s="7"/>
      <c r="M1022" s="10">
        <v>1.19</v>
      </c>
      <c r="N1022" s="7" t="s">
        <v>38</v>
      </c>
      <c r="O1022" s="7"/>
      <c r="P1022" s="8" t="s">
        <v>39</v>
      </c>
      <c r="Q1022">
        <v>5.39</v>
      </c>
      <c r="R1022">
        <v>35</v>
      </c>
      <c r="S1022" t="s">
        <v>40</v>
      </c>
      <c r="T1022">
        <v>18</v>
      </c>
      <c r="U1022">
        <f t="shared" si="75"/>
        <v>97.02</v>
      </c>
      <c r="V1022">
        <v>0.6</v>
      </c>
      <c r="W1022">
        <v>0</v>
      </c>
      <c r="X1022">
        <v>0</v>
      </c>
      <c r="Y1022">
        <f t="shared" si="76"/>
        <v>0</v>
      </c>
      <c r="Z1022">
        <f t="shared" si="77"/>
        <v>58.211999999999996</v>
      </c>
      <c r="AA1022">
        <f t="shared" si="78"/>
        <v>58.211999999999996</v>
      </c>
      <c r="AB1022">
        <f t="shared" si="79"/>
        <v>69.272279999999995</v>
      </c>
    </row>
    <row r="1023" spans="1:28" ht="25.5" x14ac:dyDescent="0.25">
      <c r="A1023" s="7">
        <v>1022</v>
      </c>
      <c r="B1023" s="7" t="s">
        <v>15</v>
      </c>
      <c r="C1023" s="7" t="s">
        <v>88</v>
      </c>
      <c r="D1023" s="7" t="s">
        <v>1119</v>
      </c>
      <c r="E1023" s="7"/>
      <c r="F1023" s="8"/>
      <c r="G1023" s="7" t="s">
        <v>1119</v>
      </c>
      <c r="H1023" s="9">
        <v>33.806317999999997</v>
      </c>
      <c r="I1023" s="9">
        <v>10.999672</v>
      </c>
      <c r="J1023" s="7" t="s">
        <v>90</v>
      </c>
      <c r="K1023" s="7" t="s">
        <v>37</v>
      </c>
      <c r="L1023" s="7"/>
      <c r="M1023" s="10">
        <v>6.3</v>
      </c>
      <c r="N1023" s="7" t="s">
        <v>44</v>
      </c>
      <c r="O1023" s="7"/>
      <c r="P1023" s="8" t="s">
        <v>39</v>
      </c>
      <c r="Q1023">
        <v>6.9</v>
      </c>
      <c r="R1023">
        <v>39.4</v>
      </c>
      <c r="S1023" t="s">
        <v>40</v>
      </c>
      <c r="T1023">
        <v>18</v>
      </c>
      <c r="U1023">
        <f t="shared" si="75"/>
        <v>124.2</v>
      </c>
      <c r="V1023">
        <v>0.6</v>
      </c>
      <c r="W1023">
        <v>0</v>
      </c>
      <c r="X1023">
        <v>0</v>
      </c>
      <c r="Y1023">
        <f t="shared" si="76"/>
        <v>0</v>
      </c>
      <c r="Z1023">
        <f t="shared" si="77"/>
        <v>74.52</v>
      </c>
      <c r="AA1023">
        <f t="shared" si="78"/>
        <v>74.52</v>
      </c>
      <c r="AB1023">
        <f t="shared" si="79"/>
        <v>469.47599999999994</v>
      </c>
    </row>
    <row r="1024" spans="1:28" ht="25.5" x14ac:dyDescent="0.25">
      <c r="A1024" s="7">
        <v>1023</v>
      </c>
      <c r="B1024" s="7" t="s">
        <v>15</v>
      </c>
      <c r="C1024" s="7" t="s">
        <v>92</v>
      </c>
      <c r="D1024" s="7" t="s">
        <v>1120</v>
      </c>
      <c r="E1024" s="7"/>
      <c r="F1024" s="8"/>
      <c r="G1024" s="7" t="s">
        <v>1120</v>
      </c>
      <c r="H1024" s="9">
        <v>35.627951000000003</v>
      </c>
      <c r="I1024" s="9">
        <v>10.774044999999999</v>
      </c>
      <c r="J1024" s="7" t="s">
        <v>94</v>
      </c>
      <c r="K1024" s="7" t="s">
        <v>37</v>
      </c>
      <c r="L1024" s="7"/>
      <c r="M1024" s="10">
        <v>3.01</v>
      </c>
      <c r="N1024" s="7" t="s">
        <v>48</v>
      </c>
      <c r="O1024" s="7"/>
      <c r="P1024" s="8" t="s">
        <v>39</v>
      </c>
      <c r="Q1024">
        <v>7.7</v>
      </c>
      <c r="R1024">
        <v>23.1</v>
      </c>
      <c r="S1024" t="s">
        <v>53</v>
      </c>
      <c r="T1024">
        <v>16</v>
      </c>
      <c r="U1024">
        <f t="shared" si="75"/>
        <v>123.2</v>
      </c>
      <c r="V1024">
        <v>1.03</v>
      </c>
      <c r="W1024">
        <v>160</v>
      </c>
      <c r="X1024">
        <v>0.35</v>
      </c>
      <c r="Y1024">
        <f t="shared" si="76"/>
        <v>56</v>
      </c>
      <c r="Z1024">
        <f t="shared" si="77"/>
        <v>126.896</v>
      </c>
      <c r="AA1024">
        <f t="shared" si="78"/>
        <v>70.896000000000001</v>
      </c>
      <c r="AB1024">
        <f t="shared" si="79"/>
        <v>213.39695999999998</v>
      </c>
    </row>
    <row r="1025" spans="1:28" ht="25.5" x14ac:dyDescent="0.25">
      <c r="A1025" s="7">
        <v>1024</v>
      </c>
      <c r="B1025" s="7" t="s">
        <v>15</v>
      </c>
      <c r="C1025" s="7" t="s">
        <v>95</v>
      </c>
      <c r="D1025" s="7" t="s">
        <v>1121</v>
      </c>
      <c r="E1025" s="7"/>
      <c r="F1025" s="8"/>
      <c r="G1025" s="7" t="s">
        <v>1121</v>
      </c>
      <c r="H1025" s="9">
        <v>36.564507999999996</v>
      </c>
      <c r="I1025" s="9">
        <v>10.867839</v>
      </c>
      <c r="J1025" s="7" t="s">
        <v>97</v>
      </c>
      <c r="K1025" s="7" t="s">
        <v>37</v>
      </c>
      <c r="L1025" s="7"/>
      <c r="M1025" s="10">
        <v>14.26</v>
      </c>
      <c r="N1025" s="7" t="s">
        <v>52</v>
      </c>
      <c r="O1025" s="7"/>
      <c r="P1025" s="8" t="s">
        <v>39</v>
      </c>
      <c r="Q1025">
        <v>2.81</v>
      </c>
      <c r="R1025">
        <v>19.100000000000001</v>
      </c>
      <c r="S1025" t="s">
        <v>53</v>
      </c>
      <c r="T1025">
        <v>12</v>
      </c>
      <c r="U1025">
        <f t="shared" si="75"/>
        <v>33.72</v>
      </c>
      <c r="V1025">
        <v>1.26</v>
      </c>
      <c r="W1025">
        <v>0</v>
      </c>
      <c r="X1025">
        <v>0</v>
      </c>
      <c r="Y1025">
        <f t="shared" si="76"/>
        <v>0</v>
      </c>
      <c r="Z1025">
        <f t="shared" si="77"/>
        <v>42.487200000000001</v>
      </c>
      <c r="AA1025">
        <f t="shared" si="78"/>
        <v>42.487200000000001</v>
      </c>
      <c r="AB1025">
        <f t="shared" si="79"/>
        <v>605.86747200000002</v>
      </c>
    </row>
    <row r="1026" spans="1:28" ht="25.5" x14ac:dyDescent="0.25">
      <c r="A1026" s="7">
        <v>1025</v>
      </c>
      <c r="B1026" s="7" t="s">
        <v>15</v>
      </c>
      <c r="C1026" s="7" t="s">
        <v>98</v>
      </c>
      <c r="D1026" s="7" t="s">
        <v>1122</v>
      </c>
      <c r="E1026" s="7"/>
      <c r="F1026" s="8"/>
      <c r="G1026" s="7" t="s">
        <v>1122</v>
      </c>
      <c r="H1026" s="9">
        <v>34.747011000000001</v>
      </c>
      <c r="I1026" s="9">
        <v>10.475215</v>
      </c>
      <c r="J1026" s="7" t="s">
        <v>100</v>
      </c>
      <c r="K1026" s="7" t="s">
        <v>37</v>
      </c>
      <c r="L1026" s="7"/>
      <c r="M1026" s="10">
        <v>9.83</v>
      </c>
      <c r="N1026" s="7" t="s">
        <v>57</v>
      </c>
      <c r="O1026" s="7"/>
      <c r="P1026" s="8" t="s">
        <v>39</v>
      </c>
      <c r="Q1026">
        <v>5.74</v>
      </c>
      <c r="R1026">
        <v>39.799999999999997</v>
      </c>
      <c r="S1026" t="s">
        <v>40</v>
      </c>
      <c r="T1026">
        <v>8</v>
      </c>
      <c r="U1026">
        <f t="shared" ref="U1026:U1089" si="80">Q1026*T1026</f>
        <v>45.92</v>
      </c>
      <c r="V1026">
        <v>0.72</v>
      </c>
      <c r="W1026">
        <v>80</v>
      </c>
      <c r="X1026">
        <v>0.35</v>
      </c>
      <c r="Y1026">
        <f t="shared" ref="Y1026:Y1089" si="81">W1026*X1026</f>
        <v>28</v>
      </c>
      <c r="Z1026">
        <f t="shared" ref="Z1026:Z1089" si="82">U1026*V1026</f>
        <v>33.062399999999997</v>
      </c>
      <c r="AA1026">
        <f t="shared" ref="AA1026:AA1089" si="83">MAX(0,Z1026-Y1026)</f>
        <v>5.0623999999999967</v>
      </c>
      <c r="AB1026">
        <f t="shared" si="79"/>
        <v>49.763391999999968</v>
      </c>
    </row>
    <row r="1027" spans="1:28" ht="25.5" x14ac:dyDescent="0.25">
      <c r="A1027" s="7">
        <v>1026</v>
      </c>
      <c r="B1027" s="7" t="s">
        <v>15</v>
      </c>
      <c r="C1027" s="7" t="s">
        <v>101</v>
      </c>
      <c r="D1027" s="7" t="s">
        <v>1123</v>
      </c>
      <c r="E1027" s="7"/>
      <c r="F1027" s="8"/>
      <c r="G1027" s="7" t="s">
        <v>1123</v>
      </c>
      <c r="H1027" s="9">
        <v>34.921064000000001</v>
      </c>
      <c r="I1027" s="9">
        <v>9.7826219999999999</v>
      </c>
      <c r="J1027" s="7" t="s">
        <v>103</v>
      </c>
      <c r="K1027" s="7" t="s">
        <v>37</v>
      </c>
      <c r="L1027" s="7"/>
      <c r="M1027" s="10">
        <v>13.92</v>
      </c>
      <c r="N1027" s="7" t="s">
        <v>62</v>
      </c>
      <c r="O1027" s="7"/>
      <c r="P1027" s="8" t="s">
        <v>39</v>
      </c>
      <c r="Q1027">
        <v>7.34</v>
      </c>
      <c r="R1027">
        <v>23.3</v>
      </c>
      <c r="S1027" t="s">
        <v>53</v>
      </c>
      <c r="T1027">
        <v>7</v>
      </c>
      <c r="U1027">
        <f t="shared" si="80"/>
        <v>51.379999999999995</v>
      </c>
      <c r="V1027">
        <v>1.26</v>
      </c>
      <c r="W1027">
        <v>0</v>
      </c>
      <c r="X1027">
        <v>0</v>
      </c>
      <c r="Y1027">
        <f t="shared" si="81"/>
        <v>0</v>
      </c>
      <c r="Z1027">
        <f t="shared" si="82"/>
        <v>64.738799999999998</v>
      </c>
      <c r="AA1027">
        <f t="shared" si="83"/>
        <v>64.738799999999998</v>
      </c>
      <c r="AB1027">
        <f t="shared" ref="AB1027:AB1090" si="84">AA1027*M1027</f>
        <v>901.16409599999997</v>
      </c>
    </row>
    <row r="1028" spans="1:28" ht="25.5" x14ac:dyDescent="0.25">
      <c r="A1028" s="7">
        <v>1027</v>
      </c>
      <c r="B1028" s="7" t="s">
        <v>15</v>
      </c>
      <c r="C1028" s="7" t="s">
        <v>104</v>
      </c>
      <c r="D1028" s="7" t="s">
        <v>1124</v>
      </c>
      <c r="E1028" s="7"/>
      <c r="F1028" s="8"/>
      <c r="G1028" s="7" t="s">
        <v>1124</v>
      </c>
      <c r="H1028" s="9">
        <v>35.832914000000002</v>
      </c>
      <c r="I1028" s="9">
        <v>9.2238690000000005</v>
      </c>
      <c r="J1028" s="7" t="s">
        <v>106</v>
      </c>
      <c r="K1028" s="7" t="s">
        <v>37</v>
      </c>
      <c r="L1028" s="7"/>
      <c r="M1028" s="10">
        <v>19.04</v>
      </c>
      <c r="N1028" s="7" t="s">
        <v>66</v>
      </c>
      <c r="O1028" s="7"/>
      <c r="P1028" s="8" t="s">
        <v>39</v>
      </c>
      <c r="Q1028">
        <v>3.08</v>
      </c>
      <c r="R1028">
        <v>30.8</v>
      </c>
      <c r="S1028" t="s">
        <v>58</v>
      </c>
      <c r="T1028">
        <v>10</v>
      </c>
      <c r="U1028">
        <f t="shared" si="80"/>
        <v>30.8</v>
      </c>
      <c r="V1028">
        <v>0.72</v>
      </c>
      <c r="W1028">
        <v>80</v>
      </c>
      <c r="X1028">
        <v>0.35</v>
      </c>
      <c r="Y1028">
        <f t="shared" si="81"/>
        <v>28</v>
      </c>
      <c r="Z1028">
        <f t="shared" si="82"/>
        <v>22.175999999999998</v>
      </c>
      <c r="AA1028">
        <f t="shared" si="83"/>
        <v>0</v>
      </c>
      <c r="AB1028">
        <f t="shared" si="84"/>
        <v>0</v>
      </c>
    </row>
    <row r="1029" spans="1:28" ht="25.5" x14ac:dyDescent="0.25">
      <c r="A1029" s="7">
        <v>1028</v>
      </c>
      <c r="B1029" s="7" t="s">
        <v>15</v>
      </c>
      <c r="C1029" s="7" t="s">
        <v>107</v>
      </c>
      <c r="D1029" s="7" t="s">
        <v>1125</v>
      </c>
      <c r="E1029" s="7"/>
      <c r="F1029" s="8"/>
      <c r="G1029" s="7" t="s">
        <v>1125</v>
      </c>
      <c r="H1029" s="9">
        <v>36.113061999999999</v>
      </c>
      <c r="I1029" s="9">
        <v>10.404133</v>
      </c>
      <c r="J1029" s="7" t="s">
        <v>109</v>
      </c>
      <c r="K1029" s="7" t="s">
        <v>37</v>
      </c>
      <c r="L1029" s="7"/>
      <c r="M1029" s="10">
        <v>6.61</v>
      </c>
      <c r="N1029" s="7" t="s">
        <v>70</v>
      </c>
      <c r="O1029" s="7"/>
      <c r="P1029" s="8" t="s">
        <v>39</v>
      </c>
      <c r="Q1029">
        <v>5.16</v>
      </c>
      <c r="R1029">
        <v>21.9</v>
      </c>
      <c r="S1029" t="s">
        <v>53</v>
      </c>
      <c r="T1029">
        <v>9</v>
      </c>
      <c r="U1029">
        <f t="shared" si="80"/>
        <v>46.44</v>
      </c>
      <c r="V1029">
        <v>1.03</v>
      </c>
      <c r="W1029">
        <v>160</v>
      </c>
      <c r="X1029">
        <v>0.35</v>
      </c>
      <c r="Y1029">
        <f t="shared" si="81"/>
        <v>56</v>
      </c>
      <c r="Z1029">
        <f t="shared" si="82"/>
        <v>47.833199999999998</v>
      </c>
      <c r="AA1029">
        <f t="shared" si="83"/>
        <v>0</v>
      </c>
      <c r="AB1029">
        <f t="shared" si="84"/>
        <v>0</v>
      </c>
    </row>
    <row r="1030" spans="1:28" ht="25.5" x14ac:dyDescent="0.25">
      <c r="A1030" s="7">
        <v>1029</v>
      </c>
      <c r="B1030" s="7" t="s">
        <v>15</v>
      </c>
      <c r="C1030" s="7" t="s">
        <v>110</v>
      </c>
      <c r="D1030" s="7" t="s">
        <v>1126</v>
      </c>
      <c r="E1030" s="7"/>
      <c r="F1030" s="8"/>
      <c r="G1030" s="7" t="s">
        <v>1126</v>
      </c>
      <c r="H1030" s="9">
        <v>33.170149000000002</v>
      </c>
      <c r="I1030" s="9">
        <v>10.229666</v>
      </c>
      <c r="J1030" s="7" t="s">
        <v>112</v>
      </c>
      <c r="K1030" s="7" t="s">
        <v>37</v>
      </c>
      <c r="L1030" s="7"/>
      <c r="M1030" s="10">
        <v>24.54</v>
      </c>
      <c r="N1030" s="7" t="s">
        <v>74</v>
      </c>
      <c r="O1030" s="7"/>
      <c r="P1030" s="8" t="s">
        <v>39</v>
      </c>
      <c r="Q1030">
        <v>4.3</v>
      </c>
      <c r="R1030">
        <v>14.7</v>
      </c>
      <c r="S1030" t="s">
        <v>91</v>
      </c>
      <c r="T1030">
        <v>10</v>
      </c>
      <c r="U1030">
        <f t="shared" si="80"/>
        <v>43</v>
      </c>
      <c r="V1030">
        <v>1.22</v>
      </c>
      <c r="W1030">
        <v>0</v>
      </c>
      <c r="X1030">
        <v>0</v>
      </c>
      <c r="Y1030">
        <f t="shared" si="81"/>
        <v>0</v>
      </c>
      <c r="Z1030">
        <f t="shared" si="82"/>
        <v>52.46</v>
      </c>
      <c r="AA1030">
        <f t="shared" si="83"/>
        <v>52.46</v>
      </c>
      <c r="AB1030">
        <f t="shared" si="84"/>
        <v>1287.3684000000001</v>
      </c>
    </row>
    <row r="1031" spans="1:28" ht="25.5" x14ac:dyDescent="0.25">
      <c r="A1031" s="7">
        <v>1030</v>
      </c>
      <c r="B1031" s="7" t="s">
        <v>15</v>
      </c>
      <c r="C1031" s="7" t="s">
        <v>113</v>
      </c>
      <c r="D1031" s="7" t="s">
        <v>1127</v>
      </c>
      <c r="E1031" s="7"/>
      <c r="F1031" s="8"/>
      <c r="G1031" s="7" t="s">
        <v>1127</v>
      </c>
      <c r="H1031" s="9">
        <v>33.844442999999998</v>
      </c>
      <c r="I1031" s="9">
        <v>7.8531459999999997</v>
      </c>
      <c r="J1031" s="7" t="s">
        <v>115</v>
      </c>
      <c r="K1031" s="7" t="s">
        <v>37</v>
      </c>
      <c r="L1031" s="7"/>
      <c r="M1031" s="10">
        <v>17.25</v>
      </c>
      <c r="N1031" s="7" t="s">
        <v>78</v>
      </c>
      <c r="O1031" s="7"/>
      <c r="P1031" s="8" t="s">
        <v>39</v>
      </c>
      <c r="Q1031">
        <v>1.82</v>
      </c>
      <c r="R1031">
        <v>11</v>
      </c>
      <c r="S1031" t="s">
        <v>91</v>
      </c>
      <c r="T1031">
        <v>14</v>
      </c>
      <c r="U1031">
        <f t="shared" si="80"/>
        <v>25.48</v>
      </c>
      <c r="V1031">
        <v>1.35</v>
      </c>
      <c r="W1031">
        <v>0</v>
      </c>
      <c r="X1031">
        <v>0</v>
      </c>
      <c r="Y1031">
        <f t="shared" si="81"/>
        <v>0</v>
      </c>
      <c r="Z1031">
        <f t="shared" si="82"/>
        <v>34.398000000000003</v>
      </c>
      <c r="AA1031">
        <f t="shared" si="83"/>
        <v>34.398000000000003</v>
      </c>
      <c r="AB1031">
        <f t="shared" si="84"/>
        <v>593.36550000000011</v>
      </c>
    </row>
    <row r="1032" spans="1:28" ht="25.5" x14ac:dyDescent="0.25">
      <c r="A1032" s="7">
        <v>1031</v>
      </c>
      <c r="B1032" s="7" t="s">
        <v>15</v>
      </c>
      <c r="C1032" s="7" t="s">
        <v>116</v>
      </c>
      <c r="D1032" s="7" t="s">
        <v>1128</v>
      </c>
      <c r="E1032" s="7"/>
      <c r="F1032" s="8"/>
      <c r="G1032" s="7" t="s">
        <v>1128</v>
      </c>
      <c r="H1032" s="9">
        <v>36.868192000000001</v>
      </c>
      <c r="I1032" s="9">
        <v>10.338044999999999</v>
      </c>
      <c r="J1032" s="7" t="s">
        <v>118</v>
      </c>
      <c r="K1032" s="7" t="s">
        <v>37</v>
      </c>
      <c r="L1032" s="7"/>
      <c r="M1032" s="10">
        <v>20.52</v>
      </c>
      <c r="N1032" s="7" t="s">
        <v>38</v>
      </c>
      <c r="O1032" s="7"/>
      <c r="P1032" s="8" t="s">
        <v>39</v>
      </c>
      <c r="Q1032">
        <v>4.83</v>
      </c>
      <c r="R1032">
        <v>24.1</v>
      </c>
      <c r="S1032" t="s">
        <v>53</v>
      </c>
      <c r="T1032">
        <v>18</v>
      </c>
      <c r="U1032">
        <f t="shared" si="80"/>
        <v>86.94</v>
      </c>
      <c r="V1032">
        <v>1.1499999999999999</v>
      </c>
      <c r="W1032">
        <v>160</v>
      </c>
      <c r="X1032">
        <v>0.35</v>
      </c>
      <c r="Y1032">
        <f t="shared" si="81"/>
        <v>56</v>
      </c>
      <c r="Z1032">
        <f t="shared" si="82"/>
        <v>99.980999999999995</v>
      </c>
      <c r="AA1032">
        <f t="shared" si="83"/>
        <v>43.980999999999995</v>
      </c>
      <c r="AB1032">
        <f t="shared" si="84"/>
        <v>902.49011999999982</v>
      </c>
    </row>
    <row r="1033" spans="1:28" ht="25.5" x14ac:dyDescent="0.25">
      <c r="A1033" s="7">
        <v>1032</v>
      </c>
      <c r="B1033" s="7" t="s">
        <v>15</v>
      </c>
      <c r="C1033" s="7" t="s">
        <v>119</v>
      </c>
      <c r="D1033" s="7" t="s">
        <v>1129</v>
      </c>
      <c r="E1033" s="7"/>
      <c r="F1033" s="8"/>
      <c r="G1033" s="7" t="s">
        <v>1129</v>
      </c>
      <c r="H1033" s="9">
        <v>36.398564</v>
      </c>
      <c r="I1033" s="9">
        <v>9.6364570000000001</v>
      </c>
      <c r="J1033" s="7" t="s">
        <v>121</v>
      </c>
      <c r="K1033" s="7" t="s">
        <v>37</v>
      </c>
      <c r="L1033" s="7"/>
      <c r="M1033" s="10">
        <v>24.26</v>
      </c>
      <c r="N1033" s="7" t="s">
        <v>44</v>
      </c>
      <c r="O1033" s="7"/>
      <c r="P1033" s="8" t="s">
        <v>39</v>
      </c>
      <c r="Q1033">
        <v>4.2300000000000004</v>
      </c>
      <c r="R1033">
        <v>37.299999999999997</v>
      </c>
      <c r="S1033" t="s">
        <v>40</v>
      </c>
      <c r="T1033">
        <v>18</v>
      </c>
      <c r="U1033">
        <f t="shared" si="80"/>
        <v>76.140000000000015</v>
      </c>
      <c r="V1033">
        <v>0.6</v>
      </c>
      <c r="W1033">
        <v>50</v>
      </c>
      <c r="X1033">
        <v>0.35</v>
      </c>
      <c r="Y1033">
        <f t="shared" si="81"/>
        <v>17.5</v>
      </c>
      <c r="Z1033">
        <f t="shared" si="82"/>
        <v>45.684000000000005</v>
      </c>
      <c r="AA1033">
        <f t="shared" si="83"/>
        <v>28.184000000000005</v>
      </c>
      <c r="AB1033">
        <f t="shared" si="84"/>
        <v>683.7438400000002</v>
      </c>
    </row>
    <row r="1034" spans="1:28" ht="25.5" x14ac:dyDescent="0.25">
      <c r="A1034" s="7">
        <v>1033</v>
      </c>
      <c r="B1034" s="7" t="s">
        <v>15</v>
      </c>
      <c r="C1034" s="7" t="s">
        <v>34</v>
      </c>
      <c r="D1034" s="7" t="s">
        <v>1130</v>
      </c>
      <c r="E1034" s="7"/>
      <c r="F1034" s="8"/>
      <c r="G1034" s="7" t="s">
        <v>1130</v>
      </c>
      <c r="H1034" s="9">
        <v>36.893000000000001</v>
      </c>
      <c r="I1034" s="9">
        <v>10.201665</v>
      </c>
      <c r="J1034" s="7" t="s">
        <v>36</v>
      </c>
      <c r="K1034" s="7" t="s">
        <v>37</v>
      </c>
      <c r="L1034" s="7"/>
      <c r="M1034" s="10">
        <v>5.1100000000000003</v>
      </c>
      <c r="N1034" s="7" t="s">
        <v>48</v>
      </c>
      <c r="O1034" s="7"/>
      <c r="P1034" s="8" t="s">
        <v>39</v>
      </c>
      <c r="Q1034">
        <v>2.5299999999999998</v>
      </c>
      <c r="R1034">
        <v>40</v>
      </c>
      <c r="S1034" t="s">
        <v>40</v>
      </c>
      <c r="T1034">
        <v>16</v>
      </c>
      <c r="U1034">
        <f t="shared" si="80"/>
        <v>40.479999999999997</v>
      </c>
      <c r="V1034">
        <v>0.54</v>
      </c>
      <c r="W1034">
        <v>160</v>
      </c>
      <c r="X1034">
        <v>0.35</v>
      </c>
      <c r="Y1034">
        <f t="shared" si="81"/>
        <v>56</v>
      </c>
      <c r="Z1034">
        <f t="shared" si="82"/>
        <v>21.859200000000001</v>
      </c>
      <c r="AA1034">
        <f t="shared" si="83"/>
        <v>0</v>
      </c>
      <c r="AB1034">
        <f t="shared" si="84"/>
        <v>0</v>
      </c>
    </row>
    <row r="1035" spans="1:28" ht="25.5" x14ac:dyDescent="0.25">
      <c r="A1035" s="7">
        <v>1034</v>
      </c>
      <c r="B1035" s="7" t="s">
        <v>15</v>
      </c>
      <c r="C1035" s="7" t="s">
        <v>41</v>
      </c>
      <c r="D1035" s="7" t="s">
        <v>1131</v>
      </c>
      <c r="E1035" s="7"/>
      <c r="F1035" s="8"/>
      <c r="G1035" s="7" t="s">
        <v>1131</v>
      </c>
      <c r="H1035" s="9">
        <v>36.668655000000001</v>
      </c>
      <c r="I1035" s="9">
        <v>9.6331430000000005</v>
      </c>
      <c r="J1035" s="7" t="s">
        <v>43</v>
      </c>
      <c r="K1035" s="7" t="s">
        <v>37</v>
      </c>
      <c r="L1035" s="7"/>
      <c r="M1035" s="10">
        <v>13.39</v>
      </c>
      <c r="N1035" s="7" t="s">
        <v>52</v>
      </c>
      <c r="O1035" s="7"/>
      <c r="P1035" s="8" t="s">
        <v>39</v>
      </c>
      <c r="Q1035">
        <v>7.29</v>
      </c>
      <c r="R1035">
        <v>36.5</v>
      </c>
      <c r="S1035" t="s">
        <v>40</v>
      </c>
      <c r="T1035">
        <v>12</v>
      </c>
      <c r="U1035">
        <f t="shared" si="80"/>
        <v>87.48</v>
      </c>
      <c r="V1035">
        <v>0.66</v>
      </c>
      <c r="W1035">
        <v>0</v>
      </c>
      <c r="X1035">
        <v>0</v>
      </c>
      <c r="Y1035">
        <f t="shared" si="81"/>
        <v>0</v>
      </c>
      <c r="Z1035">
        <f t="shared" si="82"/>
        <v>57.736800000000002</v>
      </c>
      <c r="AA1035">
        <f t="shared" si="83"/>
        <v>57.736800000000002</v>
      </c>
      <c r="AB1035">
        <f t="shared" si="84"/>
        <v>773.09575200000006</v>
      </c>
    </row>
    <row r="1036" spans="1:28" ht="25.5" x14ac:dyDescent="0.25">
      <c r="A1036" s="7">
        <v>1035</v>
      </c>
      <c r="B1036" s="7" t="s">
        <v>15</v>
      </c>
      <c r="C1036" s="7" t="s">
        <v>45</v>
      </c>
      <c r="D1036" s="7" t="s">
        <v>1132</v>
      </c>
      <c r="E1036" s="7"/>
      <c r="F1036" s="8"/>
      <c r="G1036" s="7" t="s">
        <v>1132</v>
      </c>
      <c r="H1036" s="9">
        <v>36.620989000000002</v>
      </c>
      <c r="I1036" s="9">
        <v>10.315975999999999</v>
      </c>
      <c r="J1036" s="7" t="s">
        <v>47</v>
      </c>
      <c r="K1036" s="7" t="s">
        <v>37</v>
      </c>
      <c r="L1036" s="7"/>
      <c r="M1036" s="10">
        <v>3.69</v>
      </c>
      <c r="N1036" s="7" t="s">
        <v>57</v>
      </c>
      <c r="O1036" s="7"/>
      <c r="P1036" s="8" t="s">
        <v>39</v>
      </c>
      <c r="Q1036">
        <v>7.34</v>
      </c>
      <c r="R1036">
        <v>36.799999999999997</v>
      </c>
      <c r="S1036" t="s">
        <v>40</v>
      </c>
      <c r="T1036">
        <v>8</v>
      </c>
      <c r="U1036">
        <f t="shared" si="80"/>
        <v>58.72</v>
      </c>
      <c r="V1036">
        <v>0.72</v>
      </c>
      <c r="W1036">
        <v>0</v>
      </c>
      <c r="X1036">
        <v>0</v>
      </c>
      <c r="Y1036">
        <f t="shared" si="81"/>
        <v>0</v>
      </c>
      <c r="Z1036">
        <f t="shared" si="82"/>
        <v>42.278399999999998</v>
      </c>
      <c r="AA1036">
        <f t="shared" si="83"/>
        <v>42.278399999999998</v>
      </c>
      <c r="AB1036">
        <f t="shared" si="84"/>
        <v>156.007296</v>
      </c>
    </row>
    <row r="1037" spans="1:28" ht="25.5" x14ac:dyDescent="0.25">
      <c r="A1037" s="7">
        <v>1036</v>
      </c>
      <c r="B1037" s="7" t="s">
        <v>15</v>
      </c>
      <c r="C1037" s="7" t="s">
        <v>49</v>
      </c>
      <c r="D1037" s="7" t="s">
        <v>1133</v>
      </c>
      <c r="E1037" s="7"/>
      <c r="F1037" s="8"/>
      <c r="G1037" s="7" t="s">
        <v>1133</v>
      </c>
      <c r="H1037" s="9">
        <v>37.163511</v>
      </c>
      <c r="I1037" s="9">
        <v>9.7788660000000007</v>
      </c>
      <c r="J1037" s="7" t="s">
        <v>51</v>
      </c>
      <c r="K1037" s="7" t="s">
        <v>37</v>
      </c>
      <c r="L1037" s="7"/>
      <c r="M1037" s="10">
        <v>9.7899999999999991</v>
      </c>
      <c r="N1037" s="7" t="s">
        <v>62</v>
      </c>
      <c r="O1037" s="7"/>
      <c r="P1037" s="8" t="s">
        <v>39</v>
      </c>
      <c r="Q1037">
        <v>6.4</v>
      </c>
      <c r="R1037">
        <v>11.4</v>
      </c>
      <c r="S1037" t="s">
        <v>91</v>
      </c>
      <c r="T1037">
        <v>7</v>
      </c>
      <c r="U1037">
        <f t="shared" si="80"/>
        <v>44.800000000000004</v>
      </c>
      <c r="V1037">
        <v>1.49</v>
      </c>
      <c r="W1037">
        <v>0</v>
      </c>
      <c r="X1037">
        <v>0</v>
      </c>
      <c r="Y1037">
        <f t="shared" si="81"/>
        <v>0</v>
      </c>
      <c r="Z1037">
        <f t="shared" si="82"/>
        <v>66.75200000000001</v>
      </c>
      <c r="AA1037">
        <f t="shared" si="83"/>
        <v>66.75200000000001</v>
      </c>
      <c r="AB1037">
        <f t="shared" si="84"/>
        <v>653.50208000000009</v>
      </c>
    </row>
    <row r="1038" spans="1:28" ht="25.5" x14ac:dyDescent="0.25">
      <c r="A1038" s="7">
        <v>1037</v>
      </c>
      <c r="B1038" s="7" t="s">
        <v>15</v>
      </c>
      <c r="C1038" s="7" t="s">
        <v>54</v>
      </c>
      <c r="D1038" s="7" t="s">
        <v>1134</v>
      </c>
      <c r="E1038" s="7"/>
      <c r="F1038" s="8"/>
      <c r="G1038" s="7" t="s">
        <v>1134</v>
      </c>
      <c r="H1038" s="9">
        <v>33.640416000000002</v>
      </c>
      <c r="I1038" s="9">
        <v>10.299950000000001</v>
      </c>
      <c r="J1038" s="7" t="s">
        <v>56</v>
      </c>
      <c r="K1038" s="7" t="s">
        <v>37</v>
      </c>
      <c r="L1038" s="7"/>
      <c r="M1038" s="10">
        <v>12.18</v>
      </c>
      <c r="N1038" s="7" t="s">
        <v>66</v>
      </c>
      <c r="O1038" s="7"/>
      <c r="P1038" s="8" t="s">
        <v>39</v>
      </c>
      <c r="Q1038">
        <v>2.25</v>
      </c>
      <c r="R1038">
        <v>24.1</v>
      </c>
      <c r="S1038" t="s">
        <v>53</v>
      </c>
      <c r="T1038">
        <v>10</v>
      </c>
      <c r="U1038">
        <f t="shared" si="80"/>
        <v>22.5</v>
      </c>
      <c r="V1038">
        <v>0.92</v>
      </c>
      <c r="W1038">
        <v>0</v>
      </c>
      <c r="X1038">
        <v>0</v>
      </c>
      <c r="Y1038">
        <f t="shared" si="81"/>
        <v>0</v>
      </c>
      <c r="Z1038">
        <f t="shared" si="82"/>
        <v>20.7</v>
      </c>
      <c r="AA1038">
        <f t="shared" si="83"/>
        <v>20.7</v>
      </c>
      <c r="AB1038">
        <f t="shared" si="84"/>
        <v>252.12599999999998</v>
      </c>
    </row>
    <row r="1039" spans="1:28" ht="25.5" x14ac:dyDescent="0.25">
      <c r="A1039" s="7">
        <v>1038</v>
      </c>
      <c r="B1039" s="7" t="s">
        <v>15</v>
      </c>
      <c r="C1039" s="7" t="s">
        <v>59</v>
      </c>
      <c r="D1039" s="7" t="s">
        <v>1135</v>
      </c>
      <c r="E1039" s="7"/>
      <c r="F1039" s="8"/>
      <c r="G1039" s="7" t="s">
        <v>1135</v>
      </c>
      <c r="H1039" s="9">
        <v>34.326307999999997</v>
      </c>
      <c r="I1039" s="9">
        <v>8.4122610000000009</v>
      </c>
      <c r="J1039" s="7" t="s">
        <v>61</v>
      </c>
      <c r="K1039" s="7" t="s">
        <v>37</v>
      </c>
      <c r="L1039" s="7"/>
      <c r="M1039" s="10">
        <v>1.65</v>
      </c>
      <c r="N1039" s="7" t="s">
        <v>70</v>
      </c>
      <c r="O1039" s="7"/>
      <c r="P1039" s="8" t="s">
        <v>39</v>
      </c>
      <c r="Q1039">
        <v>5.79</v>
      </c>
      <c r="R1039">
        <v>43.8</v>
      </c>
      <c r="S1039" t="s">
        <v>40</v>
      </c>
      <c r="T1039">
        <v>9</v>
      </c>
      <c r="U1039">
        <f t="shared" si="80"/>
        <v>52.11</v>
      </c>
      <c r="V1039">
        <v>0.54</v>
      </c>
      <c r="W1039">
        <v>160</v>
      </c>
      <c r="X1039">
        <v>0.35</v>
      </c>
      <c r="Y1039">
        <f t="shared" si="81"/>
        <v>56</v>
      </c>
      <c r="Z1039">
        <f t="shared" si="82"/>
        <v>28.139400000000002</v>
      </c>
      <c r="AA1039">
        <f t="shared" si="83"/>
        <v>0</v>
      </c>
      <c r="AB1039">
        <f t="shared" si="84"/>
        <v>0</v>
      </c>
    </row>
    <row r="1040" spans="1:28" ht="25.5" x14ac:dyDescent="0.25">
      <c r="A1040" s="7">
        <v>1039</v>
      </c>
      <c r="B1040" s="7" t="s">
        <v>15</v>
      </c>
      <c r="C1040" s="7" t="s">
        <v>63</v>
      </c>
      <c r="D1040" s="7" t="s">
        <v>1136</v>
      </c>
      <c r="E1040" s="7"/>
      <c r="F1040" s="8"/>
      <c r="G1040" s="7" t="s">
        <v>1136</v>
      </c>
      <c r="H1040" s="9">
        <v>36.959775999999998</v>
      </c>
      <c r="I1040" s="9">
        <v>8.7275860000000005</v>
      </c>
      <c r="J1040" s="7" t="s">
        <v>65</v>
      </c>
      <c r="K1040" s="7" t="s">
        <v>37</v>
      </c>
      <c r="L1040" s="7"/>
      <c r="M1040" s="10">
        <v>1.21</v>
      </c>
      <c r="N1040" s="7" t="s">
        <v>74</v>
      </c>
      <c r="O1040" s="7"/>
      <c r="P1040" s="8" t="s">
        <v>39</v>
      </c>
      <c r="Q1040">
        <v>2.2000000000000002</v>
      </c>
      <c r="R1040">
        <v>13.6</v>
      </c>
      <c r="S1040" t="s">
        <v>91</v>
      </c>
      <c r="T1040">
        <v>10</v>
      </c>
      <c r="U1040">
        <f t="shared" si="80"/>
        <v>22</v>
      </c>
      <c r="V1040">
        <v>1.22</v>
      </c>
      <c r="W1040">
        <v>50</v>
      </c>
      <c r="X1040">
        <v>0.35</v>
      </c>
      <c r="Y1040">
        <f t="shared" si="81"/>
        <v>17.5</v>
      </c>
      <c r="Z1040">
        <f t="shared" si="82"/>
        <v>26.84</v>
      </c>
      <c r="AA1040">
        <f t="shared" si="83"/>
        <v>9.34</v>
      </c>
      <c r="AB1040">
        <f t="shared" si="84"/>
        <v>11.301399999999999</v>
      </c>
    </row>
    <row r="1041" spans="1:28" ht="25.5" x14ac:dyDescent="0.25">
      <c r="A1041" s="7">
        <v>1040</v>
      </c>
      <c r="B1041" s="7" t="s">
        <v>15</v>
      </c>
      <c r="C1041" s="7" t="s">
        <v>67</v>
      </c>
      <c r="D1041" s="7" t="s">
        <v>1137</v>
      </c>
      <c r="E1041" s="7"/>
      <c r="F1041" s="8"/>
      <c r="G1041" s="7" t="s">
        <v>1137</v>
      </c>
      <c r="H1041" s="9">
        <v>35.609909999999999</v>
      </c>
      <c r="I1041" s="9">
        <v>9.9014939999999996</v>
      </c>
      <c r="J1041" s="7" t="s">
        <v>69</v>
      </c>
      <c r="K1041" s="7" t="s">
        <v>37</v>
      </c>
      <c r="L1041" s="7"/>
      <c r="M1041" s="10">
        <v>19.149999999999999</v>
      </c>
      <c r="N1041" s="7" t="s">
        <v>78</v>
      </c>
      <c r="O1041" s="7"/>
      <c r="P1041" s="8" t="s">
        <v>39</v>
      </c>
      <c r="Q1041">
        <v>2.5299999999999998</v>
      </c>
      <c r="R1041">
        <v>24.6</v>
      </c>
      <c r="S1041" t="s">
        <v>53</v>
      </c>
      <c r="T1041">
        <v>14</v>
      </c>
      <c r="U1041">
        <f t="shared" si="80"/>
        <v>35.419999999999995</v>
      </c>
      <c r="V1041">
        <v>1.1499999999999999</v>
      </c>
      <c r="W1041">
        <v>50</v>
      </c>
      <c r="X1041">
        <v>0.35</v>
      </c>
      <c r="Y1041">
        <f t="shared" si="81"/>
        <v>17.5</v>
      </c>
      <c r="Z1041">
        <f t="shared" si="82"/>
        <v>40.73299999999999</v>
      </c>
      <c r="AA1041">
        <f t="shared" si="83"/>
        <v>23.23299999999999</v>
      </c>
      <c r="AB1041">
        <f t="shared" si="84"/>
        <v>444.91194999999976</v>
      </c>
    </row>
    <row r="1042" spans="1:28" ht="25.5" x14ac:dyDescent="0.25">
      <c r="A1042" s="7">
        <v>1041</v>
      </c>
      <c r="B1042" s="7" t="s">
        <v>15</v>
      </c>
      <c r="C1042" s="7" t="s">
        <v>71</v>
      </c>
      <c r="D1042" s="7" t="s">
        <v>1138</v>
      </c>
      <c r="E1042" s="7"/>
      <c r="F1042" s="8"/>
      <c r="G1042" s="7" t="s">
        <v>1138</v>
      </c>
      <c r="H1042" s="9">
        <v>35.213864000000001</v>
      </c>
      <c r="I1042" s="9">
        <v>9.1112169999999999</v>
      </c>
      <c r="J1042" s="7" t="s">
        <v>73</v>
      </c>
      <c r="K1042" s="7" t="s">
        <v>37</v>
      </c>
      <c r="L1042" s="7"/>
      <c r="M1042" s="10">
        <v>20.9</v>
      </c>
      <c r="N1042" s="7" t="s">
        <v>38</v>
      </c>
      <c r="O1042" s="7"/>
      <c r="P1042" s="8" t="s">
        <v>39</v>
      </c>
      <c r="Q1042">
        <v>6.34</v>
      </c>
      <c r="R1042">
        <v>23.9</v>
      </c>
      <c r="S1042" t="s">
        <v>53</v>
      </c>
      <c r="T1042">
        <v>18</v>
      </c>
      <c r="U1042">
        <f t="shared" si="80"/>
        <v>114.12</v>
      </c>
      <c r="V1042">
        <v>1.1499999999999999</v>
      </c>
      <c r="W1042">
        <v>0</v>
      </c>
      <c r="X1042">
        <v>0</v>
      </c>
      <c r="Y1042">
        <f t="shared" si="81"/>
        <v>0</v>
      </c>
      <c r="Z1042">
        <f t="shared" si="82"/>
        <v>131.238</v>
      </c>
      <c r="AA1042">
        <f t="shared" si="83"/>
        <v>131.238</v>
      </c>
      <c r="AB1042">
        <f t="shared" si="84"/>
        <v>2742.8741999999997</v>
      </c>
    </row>
    <row r="1043" spans="1:28" ht="25.5" x14ac:dyDescent="0.25">
      <c r="A1043" s="7">
        <v>1042</v>
      </c>
      <c r="B1043" s="7" t="s">
        <v>15</v>
      </c>
      <c r="C1043" s="7" t="s">
        <v>75</v>
      </c>
      <c r="D1043" s="7" t="s">
        <v>1139</v>
      </c>
      <c r="E1043" s="7"/>
      <c r="F1043" s="8"/>
      <c r="G1043" s="7" t="s">
        <v>1139</v>
      </c>
      <c r="H1043" s="9">
        <v>33.453812999999997</v>
      </c>
      <c r="I1043" s="9">
        <v>9.0188930000000003</v>
      </c>
      <c r="J1043" s="7" t="s">
        <v>77</v>
      </c>
      <c r="K1043" s="7" t="s">
        <v>37</v>
      </c>
      <c r="L1043" s="7"/>
      <c r="M1043" s="10">
        <v>4.21</v>
      </c>
      <c r="N1043" s="7" t="s">
        <v>44</v>
      </c>
      <c r="O1043" s="7"/>
      <c r="P1043" s="8" t="s">
        <v>39</v>
      </c>
      <c r="Q1043">
        <v>5.74</v>
      </c>
      <c r="R1043">
        <v>29.9</v>
      </c>
      <c r="S1043" t="s">
        <v>58</v>
      </c>
      <c r="T1043">
        <v>18</v>
      </c>
      <c r="U1043">
        <f t="shared" si="80"/>
        <v>103.32000000000001</v>
      </c>
      <c r="V1043">
        <v>0.9</v>
      </c>
      <c r="W1043">
        <v>0</v>
      </c>
      <c r="X1043">
        <v>0</v>
      </c>
      <c r="Y1043">
        <f t="shared" si="81"/>
        <v>0</v>
      </c>
      <c r="Z1043">
        <f t="shared" si="82"/>
        <v>92.988000000000014</v>
      </c>
      <c r="AA1043">
        <f t="shared" si="83"/>
        <v>92.988000000000014</v>
      </c>
      <c r="AB1043">
        <f t="shared" si="84"/>
        <v>391.47948000000008</v>
      </c>
    </row>
    <row r="1044" spans="1:28" ht="25.5" x14ac:dyDescent="0.25">
      <c r="A1044" s="7">
        <v>1043</v>
      </c>
      <c r="B1044" s="7" t="s">
        <v>15</v>
      </c>
      <c r="C1044" s="7" t="s">
        <v>79</v>
      </c>
      <c r="D1044" s="7" t="s">
        <v>1140</v>
      </c>
      <c r="E1044" s="7"/>
      <c r="F1044" s="8"/>
      <c r="G1044" s="7" t="s">
        <v>1140</v>
      </c>
      <c r="H1044" s="9">
        <v>35.919488999999999</v>
      </c>
      <c r="I1044" s="9">
        <v>8.8126739999999995</v>
      </c>
      <c r="J1044" s="7" t="s">
        <v>81</v>
      </c>
      <c r="K1044" s="7" t="s">
        <v>37</v>
      </c>
      <c r="L1044" s="7"/>
      <c r="M1044" s="10">
        <v>15.67</v>
      </c>
      <c r="N1044" s="7" t="s">
        <v>48</v>
      </c>
      <c r="O1044" s="7"/>
      <c r="P1044" s="8" t="s">
        <v>39</v>
      </c>
      <c r="Q1044">
        <v>6.17</v>
      </c>
      <c r="R1044">
        <v>43.3</v>
      </c>
      <c r="S1044" t="s">
        <v>40</v>
      </c>
      <c r="T1044">
        <v>16</v>
      </c>
      <c r="U1044">
        <f t="shared" si="80"/>
        <v>98.72</v>
      </c>
      <c r="V1044">
        <v>0.54</v>
      </c>
      <c r="W1044">
        <v>80</v>
      </c>
      <c r="X1044">
        <v>0.35</v>
      </c>
      <c r="Y1044">
        <f t="shared" si="81"/>
        <v>28</v>
      </c>
      <c r="Z1044">
        <f t="shared" si="82"/>
        <v>53.308800000000005</v>
      </c>
      <c r="AA1044">
        <f t="shared" si="83"/>
        <v>25.308800000000005</v>
      </c>
      <c r="AB1044">
        <f t="shared" si="84"/>
        <v>396.58889600000009</v>
      </c>
    </row>
    <row r="1045" spans="1:28" ht="25.5" x14ac:dyDescent="0.25">
      <c r="A1045" s="7">
        <v>1044</v>
      </c>
      <c r="B1045" s="7" t="s">
        <v>15</v>
      </c>
      <c r="C1045" s="7" t="s">
        <v>82</v>
      </c>
      <c r="D1045" s="7" t="s">
        <v>1141</v>
      </c>
      <c r="E1045" s="7"/>
      <c r="F1045" s="8"/>
      <c r="G1045" s="7" t="s">
        <v>1141</v>
      </c>
      <c r="H1045" s="9">
        <v>35.242393999999997</v>
      </c>
      <c r="I1045" s="9">
        <v>11.111786</v>
      </c>
      <c r="J1045" s="7" t="s">
        <v>84</v>
      </c>
      <c r="K1045" s="7" t="s">
        <v>37</v>
      </c>
      <c r="L1045" s="7"/>
      <c r="M1045" s="10">
        <v>11.46</v>
      </c>
      <c r="N1045" s="7" t="s">
        <v>52</v>
      </c>
      <c r="O1045" s="7"/>
      <c r="P1045" s="8" t="s">
        <v>39</v>
      </c>
      <c r="Q1045">
        <v>6.35</v>
      </c>
      <c r="R1045">
        <v>26.2</v>
      </c>
      <c r="S1045" t="s">
        <v>58</v>
      </c>
      <c r="T1045">
        <v>12</v>
      </c>
      <c r="U1045">
        <f t="shared" si="80"/>
        <v>76.199999999999989</v>
      </c>
      <c r="V1045">
        <v>0.99</v>
      </c>
      <c r="W1045">
        <v>0</v>
      </c>
      <c r="X1045">
        <v>0</v>
      </c>
      <c r="Y1045">
        <f t="shared" si="81"/>
        <v>0</v>
      </c>
      <c r="Z1045">
        <f t="shared" si="82"/>
        <v>75.437999999999988</v>
      </c>
      <c r="AA1045">
        <f t="shared" si="83"/>
        <v>75.437999999999988</v>
      </c>
      <c r="AB1045">
        <f t="shared" si="84"/>
        <v>864.51947999999993</v>
      </c>
    </row>
    <row r="1046" spans="1:28" ht="25.5" x14ac:dyDescent="0.25">
      <c r="A1046" s="7">
        <v>1045</v>
      </c>
      <c r="B1046" s="7" t="s">
        <v>15</v>
      </c>
      <c r="C1046" s="7" t="s">
        <v>85</v>
      </c>
      <c r="D1046" s="7" t="s">
        <v>1142</v>
      </c>
      <c r="E1046" s="7"/>
      <c r="F1046" s="8"/>
      <c r="G1046" s="7" t="s">
        <v>1142</v>
      </c>
      <c r="H1046" s="9">
        <v>36.829754999999999</v>
      </c>
      <c r="I1046" s="9">
        <v>9.8611979999999999</v>
      </c>
      <c r="J1046" s="7" t="s">
        <v>87</v>
      </c>
      <c r="K1046" s="7" t="s">
        <v>37</v>
      </c>
      <c r="L1046" s="7"/>
      <c r="M1046" s="10">
        <v>11.47</v>
      </c>
      <c r="N1046" s="7" t="s">
        <v>57</v>
      </c>
      <c r="O1046" s="7"/>
      <c r="P1046" s="8" t="s">
        <v>39</v>
      </c>
      <c r="Q1046">
        <v>7.01</v>
      </c>
      <c r="R1046">
        <v>27.5</v>
      </c>
      <c r="S1046" t="s">
        <v>58</v>
      </c>
      <c r="T1046">
        <v>8</v>
      </c>
      <c r="U1046">
        <f t="shared" si="80"/>
        <v>56.08</v>
      </c>
      <c r="V1046">
        <v>1.08</v>
      </c>
      <c r="W1046">
        <v>50</v>
      </c>
      <c r="X1046">
        <v>0.35</v>
      </c>
      <c r="Y1046">
        <f t="shared" si="81"/>
        <v>17.5</v>
      </c>
      <c r="Z1046">
        <f t="shared" si="82"/>
        <v>60.566400000000002</v>
      </c>
      <c r="AA1046">
        <f t="shared" si="83"/>
        <v>43.066400000000002</v>
      </c>
      <c r="AB1046">
        <f t="shared" si="84"/>
        <v>493.97160800000006</v>
      </c>
    </row>
    <row r="1047" spans="1:28" ht="25.5" x14ac:dyDescent="0.25">
      <c r="A1047" s="7">
        <v>1046</v>
      </c>
      <c r="B1047" s="7" t="s">
        <v>15</v>
      </c>
      <c r="C1047" s="7" t="s">
        <v>88</v>
      </c>
      <c r="D1047" s="7" t="s">
        <v>1143</v>
      </c>
      <c r="E1047" s="7"/>
      <c r="F1047" s="8"/>
      <c r="G1047" s="7" t="s">
        <v>1143</v>
      </c>
      <c r="H1047" s="9">
        <v>33.822502</v>
      </c>
      <c r="I1047" s="9">
        <v>10.98795</v>
      </c>
      <c r="J1047" s="7" t="s">
        <v>90</v>
      </c>
      <c r="K1047" s="7" t="s">
        <v>37</v>
      </c>
      <c r="L1047" s="7"/>
      <c r="M1047" s="10">
        <v>13.87</v>
      </c>
      <c r="N1047" s="7" t="s">
        <v>62</v>
      </c>
      <c r="O1047" s="7"/>
      <c r="P1047" s="8" t="s">
        <v>39</v>
      </c>
      <c r="Q1047">
        <v>5.76</v>
      </c>
      <c r="R1047">
        <v>29.4</v>
      </c>
      <c r="S1047" t="s">
        <v>58</v>
      </c>
      <c r="T1047">
        <v>7</v>
      </c>
      <c r="U1047">
        <f t="shared" si="80"/>
        <v>40.32</v>
      </c>
      <c r="V1047">
        <v>0.99</v>
      </c>
      <c r="W1047">
        <v>160</v>
      </c>
      <c r="X1047">
        <v>0.35</v>
      </c>
      <c r="Y1047">
        <f t="shared" si="81"/>
        <v>56</v>
      </c>
      <c r="Z1047">
        <f t="shared" si="82"/>
        <v>39.916800000000002</v>
      </c>
      <c r="AA1047">
        <f t="shared" si="83"/>
        <v>0</v>
      </c>
      <c r="AB1047">
        <f t="shared" si="84"/>
        <v>0</v>
      </c>
    </row>
    <row r="1048" spans="1:28" ht="25.5" x14ac:dyDescent="0.25">
      <c r="A1048" s="7">
        <v>1047</v>
      </c>
      <c r="B1048" s="7" t="s">
        <v>15</v>
      </c>
      <c r="C1048" s="7" t="s">
        <v>92</v>
      </c>
      <c r="D1048" s="7" t="s">
        <v>1144</v>
      </c>
      <c r="E1048" s="7"/>
      <c r="F1048" s="8"/>
      <c r="G1048" s="7" t="s">
        <v>1144</v>
      </c>
      <c r="H1048" s="9">
        <v>35.628107999999997</v>
      </c>
      <c r="I1048" s="9">
        <v>10.76853</v>
      </c>
      <c r="J1048" s="7" t="s">
        <v>94</v>
      </c>
      <c r="K1048" s="7" t="s">
        <v>37</v>
      </c>
      <c r="L1048" s="7"/>
      <c r="M1048" s="10">
        <v>22.8</v>
      </c>
      <c r="N1048" s="7" t="s">
        <v>66</v>
      </c>
      <c r="O1048" s="7"/>
      <c r="P1048" s="8" t="s">
        <v>39</v>
      </c>
      <c r="Q1048">
        <v>3.77</v>
      </c>
      <c r="R1048">
        <v>43.2</v>
      </c>
      <c r="S1048" t="s">
        <v>40</v>
      </c>
      <c r="T1048">
        <v>10</v>
      </c>
      <c r="U1048">
        <f t="shared" si="80"/>
        <v>37.700000000000003</v>
      </c>
      <c r="V1048">
        <v>0.48</v>
      </c>
      <c r="W1048">
        <v>50</v>
      </c>
      <c r="X1048">
        <v>0.35</v>
      </c>
      <c r="Y1048">
        <f t="shared" si="81"/>
        <v>17.5</v>
      </c>
      <c r="Z1048">
        <f t="shared" si="82"/>
        <v>18.096</v>
      </c>
      <c r="AA1048">
        <f t="shared" si="83"/>
        <v>0.59600000000000009</v>
      </c>
      <c r="AB1048">
        <f t="shared" si="84"/>
        <v>13.588800000000003</v>
      </c>
    </row>
    <row r="1049" spans="1:28" ht="25.5" x14ac:dyDescent="0.25">
      <c r="A1049" s="7">
        <v>1048</v>
      </c>
      <c r="B1049" s="7" t="s">
        <v>15</v>
      </c>
      <c r="C1049" s="7" t="s">
        <v>95</v>
      </c>
      <c r="D1049" s="7" t="s">
        <v>1145</v>
      </c>
      <c r="E1049" s="7"/>
      <c r="F1049" s="8"/>
      <c r="G1049" s="7" t="s">
        <v>1145</v>
      </c>
      <c r="H1049" s="9">
        <v>36.547410999999997</v>
      </c>
      <c r="I1049" s="9">
        <v>10.855162999999999</v>
      </c>
      <c r="J1049" s="7" t="s">
        <v>97</v>
      </c>
      <c r="K1049" s="7" t="s">
        <v>37</v>
      </c>
      <c r="L1049" s="7"/>
      <c r="M1049" s="10">
        <v>14.19</v>
      </c>
      <c r="N1049" s="7" t="s">
        <v>70</v>
      </c>
      <c r="O1049" s="7"/>
      <c r="P1049" s="8" t="s">
        <v>39</v>
      </c>
      <c r="Q1049">
        <v>2.88</v>
      </c>
      <c r="R1049">
        <v>23.8</v>
      </c>
      <c r="S1049" t="s">
        <v>53</v>
      </c>
      <c r="T1049">
        <v>9</v>
      </c>
      <c r="U1049">
        <f t="shared" si="80"/>
        <v>25.919999999999998</v>
      </c>
      <c r="V1049">
        <v>1.03</v>
      </c>
      <c r="W1049">
        <v>50</v>
      </c>
      <c r="X1049">
        <v>0.35</v>
      </c>
      <c r="Y1049">
        <f t="shared" si="81"/>
        <v>17.5</v>
      </c>
      <c r="Z1049">
        <f t="shared" si="82"/>
        <v>26.697599999999998</v>
      </c>
      <c r="AA1049">
        <f t="shared" si="83"/>
        <v>9.1975999999999978</v>
      </c>
      <c r="AB1049">
        <f t="shared" si="84"/>
        <v>130.51394399999995</v>
      </c>
    </row>
    <row r="1050" spans="1:28" ht="25.5" x14ac:dyDescent="0.25">
      <c r="A1050" s="7">
        <v>1049</v>
      </c>
      <c r="B1050" s="7" t="s">
        <v>15</v>
      </c>
      <c r="C1050" s="7" t="s">
        <v>98</v>
      </c>
      <c r="D1050" s="7" t="s">
        <v>1146</v>
      </c>
      <c r="E1050" s="7"/>
      <c r="F1050" s="8"/>
      <c r="G1050" s="7" t="s">
        <v>1146</v>
      </c>
      <c r="H1050" s="9">
        <v>34.733989999999999</v>
      </c>
      <c r="I1050" s="9">
        <v>10.484305000000001</v>
      </c>
      <c r="J1050" s="7" t="s">
        <v>100</v>
      </c>
      <c r="K1050" s="7" t="s">
        <v>37</v>
      </c>
      <c r="L1050" s="7"/>
      <c r="M1050" s="10">
        <v>8.92</v>
      </c>
      <c r="N1050" s="7" t="s">
        <v>74</v>
      </c>
      <c r="O1050" s="7"/>
      <c r="P1050" s="8" t="s">
        <v>39</v>
      </c>
      <c r="Q1050">
        <v>6.83</v>
      </c>
      <c r="R1050">
        <v>39.6</v>
      </c>
      <c r="S1050" t="s">
        <v>40</v>
      </c>
      <c r="T1050">
        <v>10</v>
      </c>
      <c r="U1050">
        <f t="shared" si="80"/>
        <v>68.3</v>
      </c>
      <c r="V1050">
        <v>0.54</v>
      </c>
      <c r="W1050">
        <v>0</v>
      </c>
      <c r="X1050">
        <v>0</v>
      </c>
      <c r="Y1050">
        <f t="shared" si="81"/>
        <v>0</v>
      </c>
      <c r="Z1050">
        <f t="shared" si="82"/>
        <v>36.881999999999998</v>
      </c>
      <c r="AA1050">
        <f t="shared" si="83"/>
        <v>36.881999999999998</v>
      </c>
      <c r="AB1050">
        <f t="shared" si="84"/>
        <v>328.98743999999999</v>
      </c>
    </row>
    <row r="1051" spans="1:28" ht="25.5" x14ac:dyDescent="0.25">
      <c r="A1051" s="7">
        <v>1050</v>
      </c>
      <c r="B1051" s="7" t="s">
        <v>15</v>
      </c>
      <c r="C1051" s="7" t="s">
        <v>101</v>
      </c>
      <c r="D1051" s="7" t="s">
        <v>1147</v>
      </c>
      <c r="E1051" s="7"/>
      <c r="F1051" s="8"/>
      <c r="G1051" s="7" t="s">
        <v>1147</v>
      </c>
      <c r="H1051" s="9">
        <v>34.904294</v>
      </c>
      <c r="I1051" s="9">
        <v>9.7913049999999995</v>
      </c>
      <c r="J1051" s="7" t="s">
        <v>103</v>
      </c>
      <c r="K1051" s="7" t="s">
        <v>37</v>
      </c>
      <c r="L1051" s="7"/>
      <c r="M1051" s="10">
        <v>19.04</v>
      </c>
      <c r="N1051" s="7" t="s">
        <v>78</v>
      </c>
      <c r="O1051" s="7"/>
      <c r="P1051" s="8" t="s">
        <v>39</v>
      </c>
      <c r="Q1051">
        <v>4.8499999999999996</v>
      </c>
      <c r="R1051">
        <v>36.299999999999997</v>
      </c>
      <c r="S1051" t="s">
        <v>40</v>
      </c>
      <c r="T1051">
        <v>14</v>
      </c>
      <c r="U1051">
        <f t="shared" si="80"/>
        <v>67.899999999999991</v>
      </c>
      <c r="V1051">
        <v>0.6</v>
      </c>
      <c r="W1051">
        <v>160</v>
      </c>
      <c r="X1051">
        <v>0.35</v>
      </c>
      <c r="Y1051">
        <f t="shared" si="81"/>
        <v>56</v>
      </c>
      <c r="Z1051">
        <f t="shared" si="82"/>
        <v>40.739999999999995</v>
      </c>
      <c r="AA1051">
        <f t="shared" si="83"/>
        <v>0</v>
      </c>
      <c r="AB1051">
        <f t="shared" si="84"/>
        <v>0</v>
      </c>
    </row>
    <row r="1052" spans="1:28" ht="25.5" x14ac:dyDescent="0.25">
      <c r="A1052" s="7">
        <v>1051</v>
      </c>
      <c r="B1052" s="7" t="s">
        <v>15</v>
      </c>
      <c r="C1052" s="7" t="s">
        <v>104</v>
      </c>
      <c r="D1052" s="7" t="s">
        <v>1148</v>
      </c>
      <c r="E1052" s="7"/>
      <c r="F1052" s="8"/>
      <c r="G1052" s="7" t="s">
        <v>1148</v>
      </c>
      <c r="H1052" s="9">
        <v>35.873469</v>
      </c>
      <c r="I1052" s="9">
        <v>9.2006829999999997</v>
      </c>
      <c r="J1052" s="7" t="s">
        <v>106</v>
      </c>
      <c r="K1052" s="7" t="s">
        <v>37</v>
      </c>
      <c r="L1052" s="7"/>
      <c r="M1052" s="10">
        <v>19.809999999999999</v>
      </c>
      <c r="N1052" s="7" t="s">
        <v>38</v>
      </c>
      <c r="O1052" s="7"/>
      <c r="P1052" s="8" t="s">
        <v>39</v>
      </c>
      <c r="Q1052">
        <v>5.04</v>
      </c>
      <c r="R1052">
        <v>26</v>
      </c>
      <c r="S1052" t="s">
        <v>58</v>
      </c>
      <c r="T1052">
        <v>18</v>
      </c>
      <c r="U1052">
        <f t="shared" si="80"/>
        <v>90.72</v>
      </c>
      <c r="V1052">
        <v>0.9</v>
      </c>
      <c r="W1052">
        <v>0</v>
      </c>
      <c r="X1052">
        <v>0</v>
      </c>
      <c r="Y1052">
        <f t="shared" si="81"/>
        <v>0</v>
      </c>
      <c r="Z1052">
        <f t="shared" si="82"/>
        <v>81.647999999999996</v>
      </c>
      <c r="AA1052">
        <f t="shared" si="83"/>
        <v>81.647999999999996</v>
      </c>
      <c r="AB1052">
        <f t="shared" si="84"/>
        <v>1617.4468799999997</v>
      </c>
    </row>
    <row r="1053" spans="1:28" ht="25.5" x14ac:dyDescent="0.25">
      <c r="A1053" s="7">
        <v>1052</v>
      </c>
      <c r="B1053" s="7" t="s">
        <v>15</v>
      </c>
      <c r="C1053" s="7" t="s">
        <v>107</v>
      </c>
      <c r="D1053" s="7" t="s">
        <v>1149</v>
      </c>
      <c r="E1053" s="7"/>
      <c r="F1053" s="8"/>
      <c r="G1053" s="7" t="s">
        <v>1149</v>
      </c>
      <c r="H1053" s="9">
        <v>36.158140000000003</v>
      </c>
      <c r="I1053" s="9">
        <v>10.363422</v>
      </c>
      <c r="J1053" s="7" t="s">
        <v>109</v>
      </c>
      <c r="K1053" s="7" t="s">
        <v>37</v>
      </c>
      <c r="L1053" s="7"/>
      <c r="M1053" s="10">
        <v>18.010000000000002</v>
      </c>
      <c r="N1053" s="7" t="s">
        <v>44</v>
      </c>
      <c r="O1053" s="7"/>
      <c r="P1053" s="8" t="s">
        <v>39</v>
      </c>
      <c r="Q1053">
        <v>7.85</v>
      </c>
      <c r="R1053">
        <v>23.5</v>
      </c>
      <c r="S1053" t="s">
        <v>53</v>
      </c>
      <c r="T1053">
        <v>18</v>
      </c>
      <c r="U1053">
        <f t="shared" si="80"/>
        <v>141.29999999999998</v>
      </c>
      <c r="V1053">
        <v>1.1499999999999999</v>
      </c>
      <c r="W1053">
        <v>80</v>
      </c>
      <c r="X1053">
        <v>0.35</v>
      </c>
      <c r="Y1053">
        <f t="shared" si="81"/>
        <v>28</v>
      </c>
      <c r="Z1053">
        <f t="shared" si="82"/>
        <v>162.49499999999998</v>
      </c>
      <c r="AA1053">
        <f t="shared" si="83"/>
        <v>134.49499999999998</v>
      </c>
      <c r="AB1053">
        <f t="shared" si="84"/>
        <v>2422.2549499999996</v>
      </c>
    </row>
    <row r="1054" spans="1:28" ht="25.5" x14ac:dyDescent="0.25">
      <c r="A1054" s="7">
        <v>1053</v>
      </c>
      <c r="B1054" s="7" t="s">
        <v>15</v>
      </c>
      <c r="C1054" s="7" t="s">
        <v>110</v>
      </c>
      <c r="D1054" s="7" t="s">
        <v>1150</v>
      </c>
      <c r="E1054" s="7"/>
      <c r="F1054" s="8"/>
      <c r="G1054" s="7" t="s">
        <v>1150</v>
      </c>
      <c r="H1054" s="9">
        <v>33.154451000000002</v>
      </c>
      <c r="I1054" s="9">
        <v>10.219414</v>
      </c>
      <c r="J1054" s="7" t="s">
        <v>112</v>
      </c>
      <c r="K1054" s="7" t="s">
        <v>37</v>
      </c>
      <c r="L1054" s="7"/>
      <c r="M1054" s="10">
        <v>24.89</v>
      </c>
      <c r="N1054" s="7" t="s">
        <v>48</v>
      </c>
      <c r="O1054" s="7"/>
      <c r="P1054" s="8" t="s">
        <v>39</v>
      </c>
      <c r="Q1054">
        <v>4.43</v>
      </c>
      <c r="R1054">
        <v>30.2</v>
      </c>
      <c r="S1054" t="s">
        <v>58</v>
      </c>
      <c r="T1054">
        <v>16</v>
      </c>
      <c r="U1054">
        <f t="shared" si="80"/>
        <v>70.88</v>
      </c>
      <c r="V1054">
        <v>0.81</v>
      </c>
      <c r="W1054">
        <v>0</v>
      </c>
      <c r="X1054">
        <v>0</v>
      </c>
      <c r="Y1054">
        <f t="shared" si="81"/>
        <v>0</v>
      </c>
      <c r="Z1054">
        <f t="shared" si="82"/>
        <v>57.412799999999997</v>
      </c>
      <c r="AA1054">
        <f t="shared" si="83"/>
        <v>57.412799999999997</v>
      </c>
      <c r="AB1054">
        <f t="shared" si="84"/>
        <v>1429.004592</v>
      </c>
    </row>
    <row r="1055" spans="1:28" ht="25.5" x14ac:dyDescent="0.25">
      <c r="A1055" s="7">
        <v>1054</v>
      </c>
      <c r="B1055" s="7" t="s">
        <v>15</v>
      </c>
      <c r="C1055" s="7" t="s">
        <v>113</v>
      </c>
      <c r="D1055" s="7" t="s">
        <v>1151</v>
      </c>
      <c r="E1055" s="7"/>
      <c r="F1055" s="8"/>
      <c r="G1055" s="7" t="s">
        <v>1151</v>
      </c>
      <c r="H1055" s="9">
        <v>33.846532000000003</v>
      </c>
      <c r="I1055" s="9">
        <v>7.8591670000000002</v>
      </c>
      <c r="J1055" s="7" t="s">
        <v>115</v>
      </c>
      <c r="K1055" s="7" t="s">
        <v>37</v>
      </c>
      <c r="L1055" s="7"/>
      <c r="M1055" s="10">
        <v>6.01</v>
      </c>
      <c r="N1055" s="7" t="s">
        <v>52</v>
      </c>
      <c r="O1055" s="7"/>
      <c r="P1055" s="8" t="s">
        <v>39</v>
      </c>
      <c r="Q1055">
        <v>4.21</v>
      </c>
      <c r="R1055">
        <v>11.2</v>
      </c>
      <c r="S1055" t="s">
        <v>91</v>
      </c>
      <c r="T1055">
        <v>12</v>
      </c>
      <c r="U1055">
        <f t="shared" si="80"/>
        <v>50.519999999999996</v>
      </c>
      <c r="V1055">
        <v>1.49</v>
      </c>
      <c r="W1055">
        <v>160</v>
      </c>
      <c r="X1055">
        <v>0.35</v>
      </c>
      <c r="Y1055">
        <f t="shared" si="81"/>
        <v>56</v>
      </c>
      <c r="Z1055">
        <f t="shared" si="82"/>
        <v>75.274799999999999</v>
      </c>
      <c r="AA1055">
        <f t="shared" si="83"/>
        <v>19.274799999999999</v>
      </c>
      <c r="AB1055">
        <f t="shared" si="84"/>
        <v>115.84154799999999</v>
      </c>
    </row>
    <row r="1056" spans="1:28" ht="25.5" x14ac:dyDescent="0.25">
      <c r="A1056" s="7">
        <v>1055</v>
      </c>
      <c r="B1056" s="7" t="s">
        <v>15</v>
      </c>
      <c r="C1056" s="7" t="s">
        <v>116</v>
      </c>
      <c r="D1056" s="7" t="s">
        <v>1152</v>
      </c>
      <c r="E1056" s="7"/>
      <c r="F1056" s="8"/>
      <c r="G1056" s="7" t="s">
        <v>1152</v>
      </c>
      <c r="H1056" s="9">
        <v>36.838509000000002</v>
      </c>
      <c r="I1056" s="9">
        <v>10.345745000000001</v>
      </c>
      <c r="J1056" s="7" t="s">
        <v>118</v>
      </c>
      <c r="K1056" s="7" t="s">
        <v>37</v>
      </c>
      <c r="L1056" s="7"/>
      <c r="M1056" s="10">
        <v>18.12</v>
      </c>
      <c r="N1056" s="7" t="s">
        <v>57</v>
      </c>
      <c r="O1056" s="7"/>
      <c r="P1056" s="8" t="s">
        <v>39</v>
      </c>
      <c r="Q1056">
        <v>3.15</v>
      </c>
      <c r="R1056">
        <v>38.200000000000003</v>
      </c>
      <c r="S1056" t="s">
        <v>40</v>
      </c>
      <c r="T1056">
        <v>8</v>
      </c>
      <c r="U1056">
        <f t="shared" si="80"/>
        <v>25.2</v>
      </c>
      <c r="V1056">
        <v>0.72</v>
      </c>
      <c r="W1056">
        <v>120</v>
      </c>
      <c r="X1056">
        <v>0.35</v>
      </c>
      <c r="Y1056">
        <f t="shared" si="81"/>
        <v>42</v>
      </c>
      <c r="Z1056">
        <f t="shared" si="82"/>
        <v>18.143999999999998</v>
      </c>
      <c r="AA1056">
        <f t="shared" si="83"/>
        <v>0</v>
      </c>
      <c r="AB1056">
        <f t="shared" si="84"/>
        <v>0</v>
      </c>
    </row>
    <row r="1057" spans="1:28" ht="25.5" x14ac:dyDescent="0.25">
      <c r="A1057" s="7">
        <v>1056</v>
      </c>
      <c r="B1057" s="7" t="s">
        <v>15</v>
      </c>
      <c r="C1057" s="7" t="s">
        <v>119</v>
      </c>
      <c r="D1057" s="7" t="s">
        <v>1153</v>
      </c>
      <c r="E1057" s="7"/>
      <c r="F1057" s="8"/>
      <c r="G1057" s="7" t="s">
        <v>1153</v>
      </c>
      <c r="H1057" s="9">
        <v>36.394086999999999</v>
      </c>
      <c r="I1057" s="9">
        <v>9.6124539999999996</v>
      </c>
      <c r="J1057" s="7" t="s">
        <v>121</v>
      </c>
      <c r="K1057" s="7" t="s">
        <v>37</v>
      </c>
      <c r="L1057" s="7"/>
      <c r="M1057" s="10">
        <v>11.52</v>
      </c>
      <c r="N1057" s="7" t="s">
        <v>62</v>
      </c>
      <c r="O1057" s="7"/>
      <c r="P1057" s="8" t="s">
        <v>39</v>
      </c>
      <c r="Q1057">
        <v>2.71</v>
      </c>
      <c r="R1057">
        <v>11.5</v>
      </c>
      <c r="S1057" t="s">
        <v>91</v>
      </c>
      <c r="T1057">
        <v>7</v>
      </c>
      <c r="U1057">
        <f t="shared" si="80"/>
        <v>18.97</v>
      </c>
      <c r="V1057">
        <v>1.49</v>
      </c>
      <c r="W1057">
        <v>50</v>
      </c>
      <c r="X1057">
        <v>0.35</v>
      </c>
      <c r="Y1057">
        <f t="shared" si="81"/>
        <v>17.5</v>
      </c>
      <c r="Z1057">
        <f t="shared" si="82"/>
        <v>28.2653</v>
      </c>
      <c r="AA1057">
        <f t="shared" si="83"/>
        <v>10.7653</v>
      </c>
      <c r="AB1057">
        <f t="shared" si="84"/>
        <v>124.016256</v>
      </c>
    </row>
    <row r="1058" spans="1:28" ht="25.5" x14ac:dyDescent="0.25">
      <c r="A1058" s="7">
        <v>1057</v>
      </c>
      <c r="B1058" s="7" t="s">
        <v>15</v>
      </c>
      <c r="C1058" s="7" t="s">
        <v>34</v>
      </c>
      <c r="D1058" s="7" t="s">
        <v>1154</v>
      </c>
      <c r="E1058" s="7"/>
      <c r="F1058" s="8"/>
      <c r="G1058" s="7" t="s">
        <v>1154</v>
      </c>
      <c r="H1058" s="9">
        <v>36.871994999999998</v>
      </c>
      <c r="I1058" s="9">
        <v>10.247154999999999</v>
      </c>
      <c r="J1058" s="7" t="s">
        <v>36</v>
      </c>
      <c r="K1058" s="7" t="s">
        <v>37</v>
      </c>
      <c r="L1058" s="7"/>
      <c r="M1058" s="10">
        <v>9.4700000000000006</v>
      </c>
      <c r="N1058" s="7" t="s">
        <v>66</v>
      </c>
      <c r="O1058" s="7"/>
      <c r="P1058" s="8" t="s">
        <v>39</v>
      </c>
      <c r="Q1058">
        <v>7.06</v>
      </c>
      <c r="R1058">
        <v>14.1</v>
      </c>
      <c r="S1058" t="s">
        <v>91</v>
      </c>
      <c r="T1058">
        <v>10</v>
      </c>
      <c r="U1058">
        <f t="shared" si="80"/>
        <v>70.599999999999994</v>
      </c>
      <c r="V1058">
        <v>1.08</v>
      </c>
      <c r="W1058">
        <v>0</v>
      </c>
      <c r="X1058">
        <v>0</v>
      </c>
      <c r="Y1058">
        <f t="shared" si="81"/>
        <v>0</v>
      </c>
      <c r="Z1058">
        <f t="shared" si="82"/>
        <v>76.248000000000005</v>
      </c>
      <c r="AA1058">
        <f t="shared" si="83"/>
        <v>76.248000000000005</v>
      </c>
      <c r="AB1058">
        <f t="shared" si="84"/>
        <v>722.06856000000005</v>
      </c>
    </row>
    <row r="1059" spans="1:28" ht="25.5" x14ac:dyDescent="0.25">
      <c r="A1059" s="7">
        <v>1058</v>
      </c>
      <c r="B1059" s="7" t="s">
        <v>15</v>
      </c>
      <c r="C1059" s="7" t="s">
        <v>41</v>
      </c>
      <c r="D1059" s="7" t="s">
        <v>1155</v>
      </c>
      <c r="E1059" s="7"/>
      <c r="F1059" s="8"/>
      <c r="G1059" s="7" t="s">
        <v>1155</v>
      </c>
      <c r="H1059" s="9">
        <v>36.632582999999997</v>
      </c>
      <c r="I1059" s="9">
        <v>9.628641</v>
      </c>
      <c r="J1059" s="7" t="s">
        <v>43</v>
      </c>
      <c r="K1059" s="7" t="s">
        <v>37</v>
      </c>
      <c r="L1059" s="7"/>
      <c r="M1059" s="10">
        <v>16.82</v>
      </c>
      <c r="N1059" s="7" t="s">
        <v>70</v>
      </c>
      <c r="O1059" s="7"/>
      <c r="P1059" s="8" t="s">
        <v>39</v>
      </c>
      <c r="Q1059">
        <v>2.86</v>
      </c>
      <c r="R1059">
        <v>12.8</v>
      </c>
      <c r="S1059" t="s">
        <v>91</v>
      </c>
      <c r="T1059">
        <v>9</v>
      </c>
      <c r="U1059">
        <f t="shared" si="80"/>
        <v>25.74</v>
      </c>
      <c r="V1059">
        <v>1.22</v>
      </c>
      <c r="W1059">
        <v>0</v>
      </c>
      <c r="X1059">
        <v>0</v>
      </c>
      <c r="Y1059">
        <f t="shared" si="81"/>
        <v>0</v>
      </c>
      <c r="Z1059">
        <f t="shared" si="82"/>
        <v>31.402799999999999</v>
      </c>
      <c r="AA1059">
        <f t="shared" si="83"/>
        <v>31.402799999999999</v>
      </c>
      <c r="AB1059">
        <f t="shared" si="84"/>
        <v>528.19509600000004</v>
      </c>
    </row>
    <row r="1060" spans="1:28" ht="25.5" x14ac:dyDescent="0.25">
      <c r="A1060" s="7">
        <v>1059</v>
      </c>
      <c r="B1060" s="7" t="s">
        <v>15</v>
      </c>
      <c r="C1060" s="7" t="s">
        <v>45</v>
      </c>
      <c r="D1060" s="7" t="s">
        <v>1156</v>
      </c>
      <c r="E1060" s="7"/>
      <c r="F1060" s="8"/>
      <c r="G1060" s="7" t="s">
        <v>1156</v>
      </c>
      <c r="H1060" s="9">
        <v>36.600462</v>
      </c>
      <c r="I1060" s="9">
        <v>10.298306999999999</v>
      </c>
      <c r="J1060" s="7" t="s">
        <v>47</v>
      </c>
      <c r="K1060" s="7" t="s">
        <v>37</v>
      </c>
      <c r="L1060" s="7"/>
      <c r="M1060" s="10">
        <v>22.97</v>
      </c>
      <c r="N1060" s="7" t="s">
        <v>74</v>
      </c>
      <c r="O1060" s="7"/>
      <c r="P1060" s="8" t="s">
        <v>39</v>
      </c>
      <c r="Q1060">
        <v>4.01</v>
      </c>
      <c r="R1060">
        <v>32.700000000000003</v>
      </c>
      <c r="S1060" t="s">
        <v>58</v>
      </c>
      <c r="T1060">
        <v>10</v>
      </c>
      <c r="U1060">
        <f t="shared" si="80"/>
        <v>40.099999999999994</v>
      </c>
      <c r="V1060">
        <v>0.81</v>
      </c>
      <c r="W1060">
        <v>120</v>
      </c>
      <c r="X1060">
        <v>0.35</v>
      </c>
      <c r="Y1060">
        <f t="shared" si="81"/>
        <v>42</v>
      </c>
      <c r="Z1060">
        <f t="shared" si="82"/>
        <v>32.480999999999995</v>
      </c>
      <c r="AA1060">
        <f t="shared" si="83"/>
        <v>0</v>
      </c>
      <c r="AB1060">
        <f t="shared" si="84"/>
        <v>0</v>
      </c>
    </row>
    <row r="1061" spans="1:28" ht="25.5" x14ac:dyDescent="0.25">
      <c r="A1061" s="7">
        <v>1060</v>
      </c>
      <c r="B1061" s="7" t="s">
        <v>15</v>
      </c>
      <c r="C1061" s="7" t="s">
        <v>49</v>
      </c>
      <c r="D1061" s="7" t="s">
        <v>1157</v>
      </c>
      <c r="E1061" s="7"/>
      <c r="F1061" s="8"/>
      <c r="G1061" s="7" t="s">
        <v>1157</v>
      </c>
      <c r="H1061" s="9">
        <v>37.149687</v>
      </c>
      <c r="I1061" s="9">
        <v>9.7793989999999997</v>
      </c>
      <c r="J1061" s="7" t="s">
        <v>51</v>
      </c>
      <c r="K1061" s="7" t="s">
        <v>37</v>
      </c>
      <c r="L1061" s="7"/>
      <c r="M1061" s="10">
        <v>2.2400000000000002</v>
      </c>
      <c r="N1061" s="7" t="s">
        <v>78</v>
      </c>
      <c r="O1061" s="7"/>
      <c r="P1061" s="8" t="s">
        <v>39</v>
      </c>
      <c r="Q1061">
        <v>4.38</v>
      </c>
      <c r="R1061">
        <v>32.5</v>
      </c>
      <c r="S1061" t="s">
        <v>58</v>
      </c>
      <c r="T1061">
        <v>14</v>
      </c>
      <c r="U1061">
        <f t="shared" si="80"/>
        <v>61.32</v>
      </c>
      <c r="V1061">
        <v>0.9</v>
      </c>
      <c r="W1061">
        <v>0</v>
      </c>
      <c r="X1061">
        <v>0</v>
      </c>
      <c r="Y1061">
        <f t="shared" si="81"/>
        <v>0</v>
      </c>
      <c r="Z1061">
        <f t="shared" si="82"/>
        <v>55.188000000000002</v>
      </c>
      <c r="AA1061">
        <f t="shared" si="83"/>
        <v>55.188000000000002</v>
      </c>
      <c r="AB1061">
        <f t="shared" si="84"/>
        <v>123.62112000000002</v>
      </c>
    </row>
    <row r="1062" spans="1:28" ht="25.5" x14ac:dyDescent="0.25">
      <c r="A1062" s="7">
        <v>1061</v>
      </c>
      <c r="B1062" s="7" t="s">
        <v>15</v>
      </c>
      <c r="C1062" s="7" t="s">
        <v>54</v>
      </c>
      <c r="D1062" s="7" t="s">
        <v>1158</v>
      </c>
      <c r="E1062" s="7"/>
      <c r="F1062" s="8"/>
      <c r="G1062" s="7" t="s">
        <v>1158</v>
      </c>
      <c r="H1062" s="9">
        <v>33.64546</v>
      </c>
      <c r="I1062" s="9">
        <v>10.29302</v>
      </c>
      <c r="J1062" s="7" t="s">
        <v>56</v>
      </c>
      <c r="K1062" s="7" t="s">
        <v>37</v>
      </c>
      <c r="L1062" s="7"/>
      <c r="M1062" s="10">
        <v>5.04</v>
      </c>
      <c r="N1062" s="7" t="s">
        <v>38</v>
      </c>
      <c r="O1062" s="7"/>
      <c r="P1062" s="8" t="s">
        <v>39</v>
      </c>
      <c r="Q1062">
        <v>4.3899999999999997</v>
      </c>
      <c r="R1062">
        <v>18.8</v>
      </c>
      <c r="S1062" t="s">
        <v>53</v>
      </c>
      <c r="T1062">
        <v>18</v>
      </c>
      <c r="U1062">
        <f t="shared" si="80"/>
        <v>79.02</v>
      </c>
      <c r="V1062">
        <v>1.1499999999999999</v>
      </c>
      <c r="W1062">
        <v>120</v>
      </c>
      <c r="X1062">
        <v>0.35</v>
      </c>
      <c r="Y1062">
        <f t="shared" si="81"/>
        <v>42</v>
      </c>
      <c r="Z1062">
        <f t="shared" si="82"/>
        <v>90.87299999999999</v>
      </c>
      <c r="AA1062">
        <f t="shared" si="83"/>
        <v>48.87299999999999</v>
      </c>
      <c r="AB1062">
        <f t="shared" si="84"/>
        <v>246.31991999999997</v>
      </c>
    </row>
    <row r="1063" spans="1:28" ht="25.5" x14ac:dyDescent="0.25">
      <c r="A1063" s="7">
        <v>1062</v>
      </c>
      <c r="B1063" s="7" t="s">
        <v>15</v>
      </c>
      <c r="C1063" s="7" t="s">
        <v>59</v>
      </c>
      <c r="D1063" s="7" t="s">
        <v>1159</v>
      </c>
      <c r="E1063" s="7"/>
      <c r="F1063" s="8"/>
      <c r="G1063" s="7" t="s">
        <v>1159</v>
      </c>
      <c r="H1063" s="9">
        <v>34.334893000000001</v>
      </c>
      <c r="I1063" s="9">
        <v>8.4025020000000001</v>
      </c>
      <c r="J1063" s="7" t="s">
        <v>61</v>
      </c>
      <c r="K1063" s="7" t="s">
        <v>37</v>
      </c>
      <c r="L1063" s="7"/>
      <c r="M1063" s="10">
        <v>14.14</v>
      </c>
      <c r="N1063" s="7" t="s">
        <v>44</v>
      </c>
      <c r="O1063" s="7"/>
      <c r="P1063" s="8" t="s">
        <v>39</v>
      </c>
      <c r="Q1063">
        <v>7.76</v>
      </c>
      <c r="R1063">
        <v>26.8</v>
      </c>
      <c r="S1063" t="s">
        <v>58</v>
      </c>
      <c r="T1063">
        <v>18</v>
      </c>
      <c r="U1063">
        <f t="shared" si="80"/>
        <v>139.68</v>
      </c>
      <c r="V1063">
        <v>0.9</v>
      </c>
      <c r="W1063">
        <v>0</v>
      </c>
      <c r="X1063">
        <v>0</v>
      </c>
      <c r="Y1063">
        <f t="shared" si="81"/>
        <v>0</v>
      </c>
      <c r="Z1063">
        <f t="shared" si="82"/>
        <v>125.712</v>
      </c>
      <c r="AA1063">
        <f t="shared" si="83"/>
        <v>125.712</v>
      </c>
      <c r="AB1063">
        <f t="shared" si="84"/>
        <v>1777.5676800000001</v>
      </c>
    </row>
    <row r="1064" spans="1:28" ht="25.5" x14ac:dyDescent="0.25">
      <c r="A1064" s="7">
        <v>1063</v>
      </c>
      <c r="B1064" s="7" t="s">
        <v>15</v>
      </c>
      <c r="C1064" s="7" t="s">
        <v>63</v>
      </c>
      <c r="D1064" s="7" t="s">
        <v>1160</v>
      </c>
      <c r="E1064" s="7"/>
      <c r="F1064" s="8"/>
      <c r="G1064" s="7" t="s">
        <v>1160</v>
      </c>
      <c r="H1064" s="9">
        <v>36.936673999999996</v>
      </c>
      <c r="I1064" s="9">
        <v>8.7438800000000008</v>
      </c>
      <c r="J1064" s="7" t="s">
        <v>65</v>
      </c>
      <c r="K1064" s="7" t="s">
        <v>37</v>
      </c>
      <c r="L1064" s="7"/>
      <c r="M1064" s="10">
        <v>22.67</v>
      </c>
      <c r="N1064" s="7" t="s">
        <v>48</v>
      </c>
      <c r="O1064" s="7"/>
      <c r="P1064" s="8" t="s">
        <v>39</v>
      </c>
      <c r="Q1064">
        <v>2.2799999999999998</v>
      </c>
      <c r="R1064">
        <v>45</v>
      </c>
      <c r="S1064" t="s">
        <v>40</v>
      </c>
      <c r="T1064">
        <v>16</v>
      </c>
      <c r="U1064">
        <f t="shared" si="80"/>
        <v>36.479999999999997</v>
      </c>
      <c r="V1064">
        <v>0.54</v>
      </c>
      <c r="W1064">
        <v>0</v>
      </c>
      <c r="X1064">
        <v>0</v>
      </c>
      <c r="Y1064">
        <f t="shared" si="81"/>
        <v>0</v>
      </c>
      <c r="Z1064">
        <f t="shared" si="82"/>
        <v>19.699200000000001</v>
      </c>
      <c r="AA1064">
        <f t="shared" si="83"/>
        <v>19.699200000000001</v>
      </c>
      <c r="AB1064">
        <f t="shared" si="84"/>
        <v>446.58086400000008</v>
      </c>
    </row>
    <row r="1065" spans="1:28" ht="25.5" x14ac:dyDescent="0.25">
      <c r="A1065" s="7">
        <v>1064</v>
      </c>
      <c r="B1065" s="7" t="s">
        <v>15</v>
      </c>
      <c r="C1065" s="7" t="s">
        <v>67</v>
      </c>
      <c r="D1065" s="7" t="s">
        <v>1161</v>
      </c>
      <c r="E1065" s="7"/>
      <c r="F1065" s="8"/>
      <c r="G1065" s="7" t="s">
        <v>1161</v>
      </c>
      <c r="H1065" s="9">
        <v>35.626761000000002</v>
      </c>
      <c r="I1065" s="9">
        <v>9.8966600000000007</v>
      </c>
      <c r="J1065" s="7" t="s">
        <v>69</v>
      </c>
      <c r="K1065" s="7" t="s">
        <v>37</v>
      </c>
      <c r="L1065" s="7"/>
      <c r="M1065" s="10">
        <v>3.06</v>
      </c>
      <c r="N1065" s="7" t="s">
        <v>52</v>
      </c>
      <c r="O1065" s="7"/>
      <c r="P1065" s="8" t="s">
        <v>39</v>
      </c>
      <c r="Q1065">
        <v>2.96</v>
      </c>
      <c r="R1065">
        <v>21.2</v>
      </c>
      <c r="S1065" t="s">
        <v>53</v>
      </c>
      <c r="T1065">
        <v>12</v>
      </c>
      <c r="U1065">
        <f t="shared" si="80"/>
        <v>35.519999999999996</v>
      </c>
      <c r="V1065">
        <v>1.26</v>
      </c>
      <c r="W1065">
        <v>0</v>
      </c>
      <c r="X1065">
        <v>0</v>
      </c>
      <c r="Y1065">
        <f t="shared" si="81"/>
        <v>0</v>
      </c>
      <c r="Z1065">
        <f t="shared" si="82"/>
        <v>44.755199999999995</v>
      </c>
      <c r="AA1065">
        <f t="shared" si="83"/>
        <v>44.755199999999995</v>
      </c>
      <c r="AB1065">
        <f t="shared" si="84"/>
        <v>136.95091199999999</v>
      </c>
    </row>
    <row r="1066" spans="1:28" ht="25.5" x14ac:dyDescent="0.25">
      <c r="A1066" s="7">
        <v>1065</v>
      </c>
      <c r="B1066" s="7" t="s">
        <v>15</v>
      </c>
      <c r="C1066" s="7" t="s">
        <v>71</v>
      </c>
      <c r="D1066" s="7" t="s">
        <v>1162</v>
      </c>
      <c r="E1066" s="7"/>
      <c r="F1066" s="8"/>
      <c r="G1066" s="7" t="s">
        <v>1162</v>
      </c>
      <c r="H1066" s="9">
        <v>35.252468999999998</v>
      </c>
      <c r="I1066" s="9">
        <v>9.0955600000000008</v>
      </c>
      <c r="J1066" s="7" t="s">
        <v>73</v>
      </c>
      <c r="K1066" s="7" t="s">
        <v>37</v>
      </c>
      <c r="L1066" s="7"/>
      <c r="M1066" s="10">
        <v>4.0199999999999996</v>
      </c>
      <c r="N1066" s="7" t="s">
        <v>57</v>
      </c>
      <c r="O1066" s="7"/>
      <c r="P1066" s="8" t="s">
        <v>39</v>
      </c>
      <c r="Q1066">
        <v>4.9400000000000004</v>
      </c>
      <c r="R1066">
        <v>13.8</v>
      </c>
      <c r="S1066" t="s">
        <v>91</v>
      </c>
      <c r="T1066">
        <v>8</v>
      </c>
      <c r="U1066">
        <f t="shared" si="80"/>
        <v>39.520000000000003</v>
      </c>
      <c r="V1066">
        <v>1.6</v>
      </c>
      <c r="W1066">
        <v>80</v>
      </c>
      <c r="X1066">
        <v>0.35</v>
      </c>
      <c r="Y1066">
        <f t="shared" si="81"/>
        <v>28</v>
      </c>
      <c r="Z1066">
        <f t="shared" si="82"/>
        <v>63.232000000000006</v>
      </c>
      <c r="AA1066">
        <f t="shared" si="83"/>
        <v>35.232000000000006</v>
      </c>
      <c r="AB1066">
        <f t="shared" si="84"/>
        <v>141.63264000000001</v>
      </c>
    </row>
    <row r="1067" spans="1:28" ht="25.5" x14ac:dyDescent="0.25">
      <c r="A1067" s="7">
        <v>1066</v>
      </c>
      <c r="B1067" s="7" t="s">
        <v>15</v>
      </c>
      <c r="C1067" s="7" t="s">
        <v>75</v>
      </c>
      <c r="D1067" s="7" t="s">
        <v>1163</v>
      </c>
      <c r="E1067" s="7"/>
      <c r="F1067" s="8"/>
      <c r="G1067" s="7" t="s">
        <v>1163</v>
      </c>
      <c r="H1067" s="9">
        <v>33.469737000000002</v>
      </c>
      <c r="I1067" s="9">
        <v>9.0273339999999997</v>
      </c>
      <c r="J1067" s="7" t="s">
        <v>77</v>
      </c>
      <c r="K1067" s="7" t="s">
        <v>37</v>
      </c>
      <c r="L1067" s="7"/>
      <c r="M1067" s="10">
        <v>13.96</v>
      </c>
      <c r="N1067" s="7" t="s">
        <v>62</v>
      </c>
      <c r="O1067" s="7"/>
      <c r="P1067" s="8" t="s">
        <v>39</v>
      </c>
      <c r="Q1067">
        <v>6.99</v>
      </c>
      <c r="R1067">
        <v>20.9</v>
      </c>
      <c r="S1067" t="s">
        <v>53</v>
      </c>
      <c r="T1067">
        <v>7</v>
      </c>
      <c r="U1067">
        <f t="shared" si="80"/>
        <v>48.93</v>
      </c>
      <c r="V1067">
        <v>1.26</v>
      </c>
      <c r="W1067">
        <v>0</v>
      </c>
      <c r="X1067">
        <v>0</v>
      </c>
      <c r="Y1067">
        <f t="shared" si="81"/>
        <v>0</v>
      </c>
      <c r="Z1067">
        <f t="shared" si="82"/>
        <v>61.651800000000001</v>
      </c>
      <c r="AA1067">
        <f t="shared" si="83"/>
        <v>61.651800000000001</v>
      </c>
      <c r="AB1067">
        <f t="shared" si="84"/>
        <v>860.65912800000012</v>
      </c>
    </row>
    <row r="1068" spans="1:28" ht="25.5" x14ac:dyDescent="0.25">
      <c r="A1068" s="7">
        <v>1067</v>
      </c>
      <c r="B1068" s="7" t="s">
        <v>15</v>
      </c>
      <c r="C1068" s="7" t="s">
        <v>79</v>
      </c>
      <c r="D1068" s="7" t="s">
        <v>1164</v>
      </c>
      <c r="E1068" s="7"/>
      <c r="F1068" s="8"/>
      <c r="G1068" s="7" t="s">
        <v>1164</v>
      </c>
      <c r="H1068" s="9">
        <v>35.933647000000001</v>
      </c>
      <c r="I1068" s="9">
        <v>8.8135870000000001</v>
      </c>
      <c r="J1068" s="7" t="s">
        <v>81</v>
      </c>
      <c r="K1068" s="7" t="s">
        <v>37</v>
      </c>
      <c r="L1068" s="7"/>
      <c r="M1068" s="10">
        <v>12.68</v>
      </c>
      <c r="N1068" s="7" t="s">
        <v>66</v>
      </c>
      <c r="O1068" s="7"/>
      <c r="P1068" s="8" t="s">
        <v>39</v>
      </c>
      <c r="Q1068">
        <v>1.87</v>
      </c>
      <c r="R1068">
        <v>19.3</v>
      </c>
      <c r="S1068" t="s">
        <v>53</v>
      </c>
      <c r="T1068">
        <v>10</v>
      </c>
      <c r="U1068">
        <f t="shared" si="80"/>
        <v>18.700000000000003</v>
      </c>
      <c r="V1068">
        <v>0.92</v>
      </c>
      <c r="W1068">
        <v>0</v>
      </c>
      <c r="X1068">
        <v>0</v>
      </c>
      <c r="Y1068">
        <f t="shared" si="81"/>
        <v>0</v>
      </c>
      <c r="Z1068">
        <f t="shared" si="82"/>
        <v>17.204000000000004</v>
      </c>
      <c r="AA1068">
        <f t="shared" si="83"/>
        <v>17.204000000000004</v>
      </c>
      <c r="AB1068">
        <f t="shared" si="84"/>
        <v>218.14672000000004</v>
      </c>
    </row>
    <row r="1069" spans="1:28" ht="25.5" x14ac:dyDescent="0.25">
      <c r="A1069" s="7">
        <v>1068</v>
      </c>
      <c r="B1069" s="7" t="s">
        <v>15</v>
      </c>
      <c r="C1069" s="7" t="s">
        <v>82</v>
      </c>
      <c r="D1069" s="7" t="s">
        <v>1165</v>
      </c>
      <c r="E1069" s="7"/>
      <c r="F1069" s="8"/>
      <c r="G1069" s="7" t="s">
        <v>1165</v>
      </c>
      <c r="H1069" s="9">
        <v>35.246478000000003</v>
      </c>
      <c r="I1069" s="9">
        <v>11.094243000000001</v>
      </c>
      <c r="J1069" s="7" t="s">
        <v>84</v>
      </c>
      <c r="K1069" s="7" t="s">
        <v>37</v>
      </c>
      <c r="L1069" s="7"/>
      <c r="M1069" s="10">
        <v>1.29</v>
      </c>
      <c r="N1069" s="7" t="s">
        <v>70</v>
      </c>
      <c r="O1069" s="7"/>
      <c r="P1069" s="8" t="s">
        <v>39</v>
      </c>
      <c r="Q1069">
        <v>4.33</v>
      </c>
      <c r="R1069">
        <v>30.4</v>
      </c>
      <c r="S1069" t="s">
        <v>58</v>
      </c>
      <c r="T1069">
        <v>9</v>
      </c>
      <c r="U1069">
        <f t="shared" si="80"/>
        <v>38.97</v>
      </c>
      <c r="V1069">
        <v>0.81</v>
      </c>
      <c r="W1069">
        <v>0</v>
      </c>
      <c r="X1069">
        <v>0</v>
      </c>
      <c r="Y1069">
        <f t="shared" si="81"/>
        <v>0</v>
      </c>
      <c r="Z1069">
        <f t="shared" si="82"/>
        <v>31.5657</v>
      </c>
      <c r="AA1069">
        <f t="shared" si="83"/>
        <v>31.5657</v>
      </c>
      <c r="AB1069">
        <f t="shared" si="84"/>
        <v>40.719752999999997</v>
      </c>
    </row>
    <row r="1070" spans="1:28" ht="25.5" x14ac:dyDescent="0.25">
      <c r="A1070" s="7">
        <v>1069</v>
      </c>
      <c r="B1070" s="7" t="s">
        <v>15</v>
      </c>
      <c r="C1070" s="7" t="s">
        <v>85</v>
      </c>
      <c r="D1070" s="7" t="s">
        <v>1166</v>
      </c>
      <c r="E1070" s="7"/>
      <c r="F1070" s="8"/>
      <c r="G1070" s="7" t="s">
        <v>1166</v>
      </c>
      <c r="H1070" s="9">
        <v>36.818387999999999</v>
      </c>
      <c r="I1070" s="9">
        <v>9.8578299999999999</v>
      </c>
      <c r="J1070" s="7" t="s">
        <v>87</v>
      </c>
      <c r="K1070" s="7" t="s">
        <v>37</v>
      </c>
      <c r="L1070" s="7"/>
      <c r="M1070" s="10">
        <v>16.22</v>
      </c>
      <c r="N1070" s="7" t="s">
        <v>74</v>
      </c>
      <c r="O1070" s="7"/>
      <c r="P1070" s="8" t="s">
        <v>39</v>
      </c>
      <c r="Q1070">
        <v>7.02</v>
      </c>
      <c r="R1070">
        <v>11.6</v>
      </c>
      <c r="S1070" t="s">
        <v>91</v>
      </c>
      <c r="T1070">
        <v>10</v>
      </c>
      <c r="U1070">
        <f t="shared" si="80"/>
        <v>70.199999999999989</v>
      </c>
      <c r="V1070">
        <v>1.22</v>
      </c>
      <c r="W1070">
        <v>160</v>
      </c>
      <c r="X1070">
        <v>0.35</v>
      </c>
      <c r="Y1070">
        <f t="shared" si="81"/>
        <v>56</v>
      </c>
      <c r="Z1070">
        <f t="shared" si="82"/>
        <v>85.643999999999991</v>
      </c>
      <c r="AA1070">
        <f t="shared" si="83"/>
        <v>29.643999999999991</v>
      </c>
      <c r="AB1070">
        <f t="shared" si="84"/>
        <v>480.82567999999981</v>
      </c>
    </row>
    <row r="1071" spans="1:28" ht="25.5" x14ac:dyDescent="0.25">
      <c r="A1071" s="7">
        <v>1070</v>
      </c>
      <c r="B1071" s="7" t="s">
        <v>15</v>
      </c>
      <c r="C1071" s="7" t="s">
        <v>88</v>
      </c>
      <c r="D1071" s="7" t="s">
        <v>1167</v>
      </c>
      <c r="E1071" s="7"/>
      <c r="F1071" s="8"/>
      <c r="G1071" s="7" t="s">
        <v>1167</v>
      </c>
      <c r="H1071" s="9">
        <v>33.808359000000003</v>
      </c>
      <c r="I1071" s="9">
        <v>11.006133999999999</v>
      </c>
      <c r="J1071" s="7" t="s">
        <v>90</v>
      </c>
      <c r="K1071" s="7" t="s">
        <v>37</v>
      </c>
      <c r="L1071" s="7"/>
      <c r="M1071" s="10">
        <v>0.98</v>
      </c>
      <c r="N1071" s="7" t="s">
        <v>78</v>
      </c>
      <c r="O1071" s="7"/>
      <c r="P1071" s="8" t="s">
        <v>39</v>
      </c>
      <c r="Q1071">
        <v>6.88</v>
      </c>
      <c r="R1071">
        <v>13.7</v>
      </c>
      <c r="S1071" t="s">
        <v>91</v>
      </c>
      <c r="T1071">
        <v>14</v>
      </c>
      <c r="U1071">
        <f t="shared" si="80"/>
        <v>96.32</v>
      </c>
      <c r="V1071">
        <v>1.35</v>
      </c>
      <c r="W1071">
        <v>80</v>
      </c>
      <c r="X1071">
        <v>0.35</v>
      </c>
      <c r="Y1071">
        <f t="shared" si="81"/>
        <v>28</v>
      </c>
      <c r="Z1071">
        <f t="shared" si="82"/>
        <v>130.03200000000001</v>
      </c>
      <c r="AA1071">
        <f t="shared" si="83"/>
        <v>102.03200000000001</v>
      </c>
      <c r="AB1071">
        <f t="shared" si="84"/>
        <v>99.991360000000014</v>
      </c>
    </row>
    <row r="1072" spans="1:28" ht="25.5" x14ac:dyDescent="0.25">
      <c r="A1072" s="7">
        <v>1071</v>
      </c>
      <c r="B1072" s="7" t="s">
        <v>15</v>
      </c>
      <c r="C1072" s="7" t="s">
        <v>92</v>
      </c>
      <c r="D1072" s="7" t="s">
        <v>1168</v>
      </c>
      <c r="E1072" s="7"/>
      <c r="F1072" s="8"/>
      <c r="G1072" s="7" t="s">
        <v>1168</v>
      </c>
      <c r="H1072" s="9">
        <v>35.637535999999997</v>
      </c>
      <c r="I1072" s="9">
        <v>10.740605</v>
      </c>
      <c r="J1072" s="7" t="s">
        <v>94</v>
      </c>
      <c r="K1072" s="7" t="s">
        <v>37</v>
      </c>
      <c r="L1072" s="7"/>
      <c r="M1072" s="10">
        <v>22.26</v>
      </c>
      <c r="N1072" s="7" t="s">
        <v>38</v>
      </c>
      <c r="O1072" s="7"/>
      <c r="P1072" s="8" t="s">
        <v>39</v>
      </c>
      <c r="Q1072">
        <v>3.56</v>
      </c>
      <c r="R1072">
        <v>29</v>
      </c>
      <c r="S1072" t="s">
        <v>58</v>
      </c>
      <c r="T1072">
        <v>18</v>
      </c>
      <c r="U1072">
        <f t="shared" si="80"/>
        <v>64.08</v>
      </c>
      <c r="V1072">
        <v>0.9</v>
      </c>
      <c r="W1072">
        <v>0</v>
      </c>
      <c r="X1072">
        <v>0</v>
      </c>
      <c r="Y1072">
        <f t="shared" si="81"/>
        <v>0</v>
      </c>
      <c r="Z1072">
        <f t="shared" si="82"/>
        <v>57.671999999999997</v>
      </c>
      <c r="AA1072">
        <f t="shared" si="83"/>
        <v>57.671999999999997</v>
      </c>
      <c r="AB1072">
        <f t="shared" si="84"/>
        <v>1283.77872</v>
      </c>
    </row>
    <row r="1073" spans="1:28" ht="25.5" x14ac:dyDescent="0.25">
      <c r="A1073" s="7">
        <v>1072</v>
      </c>
      <c r="B1073" s="7" t="s">
        <v>15</v>
      </c>
      <c r="C1073" s="7" t="s">
        <v>95</v>
      </c>
      <c r="D1073" s="7" t="s">
        <v>1169</v>
      </c>
      <c r="E1073" s="7"/>
      <c r="F1073" s="8"/>
      <c r="G1073" s="7" t="s">
        <v>1169</v>
      </c>
      <c r="H1073" s="9">
        <v>36.554203999999999</v>
      </c>
      <c r="I1073" s="9">
        <v>10.866502000000001</v>
      </c>
      <c r="J1073" s="7" t="s">
        <v>97</v>
      </c>
      <c r="K1073" s="7" t="s">
        <v>37</v>
      </c>
      <c r="L1073" s="7"/>
      <c r="M1073" s="10">
        <v>14.44</v>
      </c>
      <c r="N1073" s="7" t="s">
        <v>44</v>
      </c>
      <c r="O1073" s="7"/>
      <c r="P1073" s="8" t="s">
        <v>39</v>
      </c>
      <c r="Q1073">
        <v>6.57</v>
      </c>
      <c r="R1073">
        <v>16.899999999999999</v>
      </c>
      <c r="S1073" t="s">
        <v>53</v>
      </c>
      <c r="T1073">
        <v>18</v>
      </c>
      <c r="U1073">
        <f t="shared" si="80"/>
        <v>118.26</v>
      </c>
      <c r="V1073">
        <v>1.1499999999999999</v>
      </c>
      <c r="W1073">
        <v>120</v>
      </c>
      <c r="X1073">
        <v>0.35</v>
      </c>
      <c r="Y1073">
        <f t="shared" si="81"/>
        <v>42</v>
      </c>
      <c r="Z1073">
        <f t="shared" si="82"/>
        <v>135.999</v>
      </c>
      <c r="AA1073">
        <f t="shared" si="83"/>
        <v>93.998999999999995</v>
      </c>
      <c r="AB1073">
        <f t="shared" si="84"/>
        <v>1357.34556</v>
      </c>
    </row>
    <row r="1074" spans="1:28" ht="25.5" x14ac:dyDescent="0.25">
      <c r="A1074" s="7">
        <v>1073</v>
      </c>
      <c r="B1074" s="7" t="s">
        <v>15</v>
      </c>
      <c r="C1074" s="7" t="s">
        <v>98</v>
      </c>
      <c r="D1074" s="7" t="s">
        <v>1170</v>
      </c>
      <c r="E1074" s="7"/>
      <c r="F1074" s="8"/>
      <c r="G1074" s="7" t="s">
        <v>1170</v>
      </c>
      <c r="H1074" s="9">
        <v>34.738576999999999</v>
      </c>
      <c r="I1074" s="9">
        <v>10.508020999999999</v>
      </c>
      <c r="J1074" s="7" t="s">
        <v>100</v>
      </c>
      <c r="K1074" s="7" t="s">
        <v>37</v>
      </c>
      <c r="L1074" s="7"/>
      <c r="M1074" s="10">
        <v>17.28</v>
      </c>
      <c r="N1074" s="7" t="s">
        <v>48</v>
      </c>
      <c r="O1074" s="7"/>
      <c r="P1074" s="8" t="s">
        <v>39</v>
      </c>
      <c r="Q1074">
        <v>6.86</v>
      </c>
      <c r="R1074">
        <v>33.299999999999997</v>
      </c>
      <c r="S1074" t="s">
        <v>58</v>
      </c>
      <c r="T1074">
        <v>16</v>
      </c>
      <c r="U1074">
        <f t="shared" si="80"/>
        <v>109.76</v>
      </c>
      <c r="V1074">
        <v>0.81</v>
      </c>
      <c r="W1074">
        <v>0</v>
      </c>
      <c r="X1074">
        <v>0</v>
      </c>
      <c r="Y1074">
        <f t="shared" si="81"/>
        <v>0</v>
      </c>
      <c r="Z1074">
        <f t="shared" si="82"/>
        <v>88.905600000000007</v>
      </c>
      <c r="AA1074">
        <f t="shared" si="83"/>
        <v>88.905600000000007</v>
      </c>
      <c r="AB1074">
        <f t="shared" si="84"/>
        <v>1536.2887680000001</v>
      </c>
    </row>
    <row r="1075" spans="1:28" ht="25.5" x14ac:dyDescent="0.25">
      <c r="A1075" s="7">
        <v>1074</v>
      </c>
      <c r="B1075" s="7" t="s">
        <v>15</v>
      </c>
      <c r="C1075" s="7" t="s">
        <v>101</v>
      </c>
      <c r="D1075" s="7" t="s">
        <v>1171</v>
      </c>
      <c r="E1075" s="7"/>
      <c r="F1075" s="8"/>
      <c r="G1075" s="7" t="s">
        <v>1171</v>
      </c>
      <c r="H1075" s="9">
        <v>34.918804999999999</v>
      </c>
      <c r="I1075" s="9">
        <v>9.7797780000000003</v>
      </c>
      <c r="J1075" s="7" t="s">
        <v>103</v>
      </c>
      <c r="K1075" s="7" t="s">
        <v>37</v>
      </c>
      <c r="L1075" s="7"/>
      <c r="M1075" s="10">
        <v>16.79</v>
      </c>
      <c r="N1075" s="7" t="s">
        <v>52</v>
      </c>
      <c r="O1075" s="7"/>
      <c r="P1075" s="8" t="s">
        <v>39</v>
      </c>
      <c r="Q1075">
        <v>7.37</v>
      </c>
      <c r="R1075">
        <v>11.6</v>
      </c>
      <c r="S1075" t="s">
        <v>91</v>
      </c>
      <c r="T1075">
        <v>12</v>
      </c>
      <c r="U1075">
        <f t="shared" si="80"/>
        <v>88.44</v>
      </c>
      <c r="V1075">
        <v>1.49</v>
      </c>
      <c r="W1075">
        <v>80</v>
      </c>
      <c r="X1075">
        <v>0.35</v>
      </c>
      <c r="Y1075">
        <f t="shared" si="81"/>
        <v>28</v>
      </c>
      <c r="Z1075">
        <f t="shared" si="82"/>
        <v>131.7756</v>
      </c>
      <c r="AA1075">
        <f t="shared" si="83"/>
        <v>103.7756</v>
      </c>
      <c r="AB1075">
        <f t="shared" si="84"/>
        <v>1742.3923239999999</v>
      </c>
    </row>
    <row r="1076" spans="1:28" ht="25.5" x14ac:dyDescent="0.25">
      <c r="A1076" s="7">
        <v>1075</v>
      </c>
      <c r="B1076" s="7" t="s">
        <v>15</v>
      </c>
      <c r="C1076" s="7" t="s">
        <v>104</v>
      </c>
      <c r="D1076" s="7" t="s">
        <v>1172</v>
      </c>
      <c r="E1076" s="7"/>
      <c r="F1076" s="8"/>
      <c r="G1076" s="7" t="s">
        <v>1172</v>
      </c>
      <c r="H1076" s="9">
        <v>35.869326999999998</v>
      </c>
      <c r="I1076" s="9">
        <v>9.181082</v>
      </c>
      <c r="J1076" s="7" t="s">
        <v>106</v>
      </c>
      <c r="K1076" s="7" t="s">
        <v>37</v>
      </c>
      <c r="L1076" s="7"/>
      <c r="M1076" s="10">
        <v>15.33</v>
      </c>
      <c r="N1076" s="7" t="s">
        <v>57</v>
      </c>
      <c r="O1076" s="7"/>
      <c r="P1076" s="8" t="s">
        <v>39</v>
      </c>
      <c r="Q1076">
        <v>6.99</v>
      </c>
      <c r="R1076">
        <v>10.6</v>
      </c>
      <c r="S1076" t="s">
        <v>91</v>
      </c>
      <c r="T1076">
        <v>8</v>
      </c>
      <c r="U1076">
        <f t="shared" si="80"/>
        <v>55.92</v>
      </c>
      <c r="V1076">
        <v>1.6</v>
      </c>
      <c r="W1076">
        <v>80</v>
      </c>
      <c r="X1076">
        <v>0.35</v>
      </c>
      <c r="Y1076">
        <f t="shared" si="81"/>
        <v>28</v>
      </c>
      <c r="Z1076">
        <f t="shared" si="82"/>
        <v>89.472000000000008</v>
      </c>
      <c r="AA1076">
        <f t="shared" si="83"/>
        <v>61.472000000000008</v>
      </c>
      <c r="AB1076">
        <f t="shared" si="84"/>
        <v>942.36576000000014</v>
      </c>
    </row>
    <row r="1077" spans="1:28" ht="25.5" x14ac:dyDescent="0.25">
      <c r="A1077" s="7">
        <v>1076</v>
      </c>
      <c r="B1077" s="7" t="s">
        <v>15</v>
      </c>
      <c r="C1077" s="7" t="s">
        <v>107</v>
      </c>
      <c r="D1077" s="7" t="s">
        <v>1173</v>
      </c>
      <c r="E1077" s="7"/>
      <c r="F1077" s="8"/>
      <c r="G1077" s="7" t="s">
        <v>1173</v>
      </c>
      <c r="H1077" s="9">
        <v>36.127533999999997</v>
      </c>
      <c r="I1077" s="9">
        <v>10.385202</v>
      </c>
      <c r="J1077" s="7" t="s">
        <v>109</v>
      </c>
      <c r="K1077" s="7" t="s">
        <v>37</v>
      </c>
      <c r="L1077" s="7"/>
      <c r="M1077" s="10">
        <v>20.86</v>
      </c>
      <c r="N1077" s="7" t="s">
        <v>62</v>
      </c>
      <c r="O1077" s="7"/>
      <c r="P1077" s="8" t="s">
        <v>39</v>
      </c>
      <c r="Q1077">
        <v>6.93</v>
      </c>
      <c r="R1077">
        <v>38.299999999999997</v>
      </c>
      <c r="S1077" t="s">
        <v>40</v>
      </c>
      <c r="T1077">
        <v>7</v>
      </c>
      <c r="U1077">
        <f t="shared" si="80"/>
        <v>48.51</v>
      </c>
      <c r="V1077">
        <v>0.66</v>
      </c>
      <c r="W1077">
        <v>50</v>
      </c>
      <c r="X1077">
        <v>0.35</v>
      </c>
      <c r="Y1077">
        <f t="shared" si="81"/>
        <v>17.5</v>
      </c>
      <c r="Z1077">
        <f t="shared" si="82"/>
        <v>32.016599999999997</v>
      </c>
      <c r="AA1077">
        <f t="shared" si="83"/>
        <v>14.516599999999997</v>
      </c>
      <c r="AB1077">
        <f t="shared" si="84"/>
        <v>302.8162759999999</v>
      </c>
    </row>
    <row r="1078" spans="1:28" ht="25.5" x14ac:dyDescent="0.25">
      <c r="A1078" s="7">
        <v>1077</v>
      </c>
      <c r="B1078" s="7" t="s">
        <v>15</v>
      </c>
      <c r="C1078" s="7" t="s">
        <v>110</v>
      </c>
      <c r="D1078" s="7" t="s">
        <v>1174</v>
      </c>
      <c r="E1078" s="7"/>
      <c r="F1078" s="8"/>
      <c r="G1078" s="7" t="s">
        <v>1174</v>
      </c>
      <c r="H1078" s="9">
        <v>33.145085000000002</v>
      </c>
      <c r="I1078" s="9">
        <v>10.227474000000001</v>
      </c>
      <c r="J1078" s="7" t="s">
        <v>112</v>
      </c>
      <c r="K1078" s="7" t="s">
        <v>37</v>
      </c>
      <c r="L1078" s="7"/>
      <c r="M1078" s="10">
        <v>24.01</v>
      </c>
      <c r="N1078" s="7" t="s">
        <v>66</v>
      </c>
      <c r="O1078" s="7"/>
      <c r="P1078" s="8" t="s">
        <v>39</v>
      </c>
      <c r="Q1078">
        <v>4.8499999999999996</v>
      </c>
      <c r="R1078">
        <v>19.600000000000001</v>
      </c>
      <c r="S1078" t="s">
        <v>53</v>
      </c>
      <c r="T1078">
        <v>10</v>
      </c>
      <c r="U1078">
        <f t="shared" si="80"/>
        <v>48.5</v>
      </c>
      <c r="V1078">
        <v>0.92</v>
      </c>
      <c r="W1078">
        <v>80</v>
      </c>
      <c r="X1078">
        <v>0.35</v>
      </c>
      <c r="Y1078">
        <f t="shared" si="81"/>
        <v>28</v>
      </c>
      <c r="Z1078">
        <f t="shared" si="82"/>
        <v>44.620000000000005</v>
      </c>
      <c r="AA1078">
        <f t="shared" si="83"/>
        <v>16.620000000000005</v>
      </c>
      <c r="AB1078">
        <f t="shared" si="84"/>
        <v>399.04620000000011</v>
      </c>
    </row>
    <row r="1079" spans="1:28" ht="25.5" x14ac:dyDescent="0.25">
      <c r="A1079" s="7">
        <v>1078</v>
      </c>
      <c r="B1079" s="7" t="s">
        <v>15</v>
      </c>
      <c r="C1079" s="7" t="s">
        <v>113</v>
      </c>
      <c r="D1079" s="7" t="s">
        <v>1175</v>
      </c>
      <c r="E1079" s="7"/>
      <c r="F1079" s="8"/>
      <c r="G1079" s="7" t="s">
        <v>1175</v>
      </c>
      <c r="H1079" s="9">
        <v>33.847994</v>
      </c>
      <c r="I1079" s="9">
        <v>7.862323</v>
      </c>
      <c r="J1079" s="7" t="s">
        <v>115</v>
      </c>
      <c r="K1079" s="7" t="s">
        <v>37</v>
      </c>
      <c r="L1079" s="7"/>
      <c r="M1079" s="10">
        <v>19.350000000000001</v>
      </c>
      <c r="N1079" s="7" t="s">
        <v>70</v>
      </c>
      <c r="O1079" s="7"/>
      <c r="P1079" s="8" t="s">
        <v>39</v>
      </c>
      <c r="Q1079">
        <v>2.2400000000000002</v>
      </c>
      <c r="R1079">
        <v>25.9</v>
      </c>
      <c r="S1079" t="s">
        <v>58</v>
      </c>
      <c r="T1079">
        <v>9</v>
      </c>
      <c r="U1079">
        <f t="shared" si="80"/>
        <v>20.160000000000004</v>
      </c>
      <c r="V1079">
        <v>0.81</v>
      </c>
      <c r="W1079">
        <v>0</v>
      </c>
      <c r="X1079">
        <v>0</v>
      </c>
      <c r="Y1079">
        <f t="shared" si="81"/>
        <v>0</v>
      </c>
      <c r="Z1079">
        <f t="shared" si="82"/>
        <v>16.329600000000003</v>
      </c>
      <c r="AA1079">
        <f t="shared" si="83"/>
        <v>16.329600000000003</v>
      </c>
      <c r="AB1079">
        <f t="shared" si="84"/>
        <v>315.9777600000001</v>
      </c>
    </row>
    <row r="1080" spans="1:28" ht="25.5" x14ac:dyDescent="0.25">
      <c r="A1080" s="7">
        <v>1079</v>
      </c>
      <c r="B1080" s="7" t="s">
        <v>15</v>
      </c>
      <c r="C1080" s="7" t="s">
        <v>116</v>
      </c>
      <c r="D1080" s="7" t="s">
        <v>1176</v>
      </c>
      <c r="E1080" s="7"/>
      <c r="F1080" s="8"/>
      <c r="G1080" s="7" t="s">
        <v>1176</v>
      </c>
      <c r="H1080" s="9">
        <v>36.838527999999997</v>
      </c>
      <c r="I1080" s="9">
        <v>10.306210999999999</v>
      </c>
      <c r="J1080" s="7" t="s">
        <v>118</v>
      </c>
      <c r="K1080" s="7" t="s">
        <v>37</v>
      </c>
      <c r="L1080" s="7"/>
      <c r="M1080" s="10">
        <v>21.65</v>
      </c>
      <c r="N1080" s="7" t="s">
        <v>74</v>
      </c>
      <c r="O1080" s="7"/>
      <c r="P1080" s="8" t="s">
        <v>39</v>
      </c>
      <c r="Q1080">
        <v>6.13</v>
      </c>
      <c r="R1080">
        <v>40.1</v>
      </c>
      <c r="S1080" t="s">
        <v>40</v>
      </c>
      <c r="T1080">
        <v>10</v>
      </c>
      <c r="U1080">
        <f t="shared" si="80"/>
        <v>61.3</v>
      </c>
      <c r="V1080">
        <v>0.54</v>
      </c>
      <c r="W1080">
        <v>0</v>
      </c>
      <c r="X1080">
        <v>0</v>
      </c>
      <c r="Y1080">
        <f t="shared" si="81"/>
        <v>0</v>
      </c>
      <c r="Z1080">
        <f t="shared" si="82"/>
        <v>33.102000000000004</v>
      </c>
      <c r="AA1080">
        <f t="shared" si="83"/>
        <v>33.102000000000004</v>
      </c>
      <c r="AB1080">
        <f t="shared" si="84"/>
        <v>716.65830000000005</v>
      </c>
    </row>
    <row r="1081" spans="1:28" ht="25.5" x14ac:dyDescent="0.25">
      <c r="A1081" s="7">
        <v>1080</v>
      </c>
      <c r="B1081" s="7" t="s">
        <v>15</v>
      </c>
      <c r="C1081" s="7" t="s">
        <v>119</v>
      </c>
      <c r="D1081" s="7" t="s">
        <v>1177</v>
      </c>
      <c r="E1081" s="7"/>
      <c r="F1081" s="8"/>
      <c r="G1081" s="7" t="s">
        <v>1177</v>
      </c>
      <c r="H1081" s="9">
        <v>36.389325999999997</v>
      </c>
      <c r="I1081" s="9">
        <v>9.5928939999999994</v>
      </c>
      <c r="J1081" s="7" t="s">
        <v>121</v>
      </c>
      <c r="K1081" s="7" t="s">
        <v>37</v>
      </c>
      <c r="L1081" s="7"/>
      <c r="M1081" s="10">
        <v>14.9</v>
      </c>
      <c r="N1081" s="7" t="s">
        <v>78</v>
      </c>
      <c r="O1081" s="7"/>
      <c r="P1081" s="8" t="s">
        <v>39</v>
      </c>
      <c r="Q1081">
        <v>6.15</v>
      </c>
      <c r="R1081">
        <v>29.7</v>
      </c>
      <c r="S1081" t="s">
        <v>58</v>
      </c>
      <c r="T1081">
        <v>14</v>
      </c>
      <c r="U1081">
        <f t="shared" si="80"/>
        <v>86.100000000000009</v>
      </c>
      <c r="V1081">
        <v>0.9</v>
      </c>
      <c r="W1081">
        <v>160</v>
      </c>
      <c r="X1081">
        <v>0.35</v>
      </c>
      <c r="Y1081">
        <f t="shared" si="81"/>
        <v>56</v>
      </c>
      <c r="Z1081">
        <f t="shared" si="82"/>
        <v>77.490000000000009</v>
      </c>
      <c r="AA1081">
        <f t="shared" si="83"/>
        <v>21.490000000000009</v>
      </c>
      <c r="AB1081">
        <f t="shared" si="84"/>
        <v>320.20100000000014</v>
      </c>
    </row>
    <row r="1082" spans="1:28" ht="25.5" x14ac:dyDescent="0.25">
      <c r="A1082" s="7">
        <v>1081</v>
      </c>
      <c r="B1082" s="7" t="s">
        <v>15</v>
      </c>
      <c r="C1082" s="7" t="s">
        <v>34</v>
      </c>
      <c r="D1082" s="7" t="s">
        <v>1178</v>
      </c>
      <c r="E1082" s="7"/>
      <c r="F1082" s="8"/>
      <c r="G1082" s="7" t="s">
        <v>1178</v>
      </c>
      <c r="H1082" s="9">
        <v>36.888675999999997</v>
      </c>
      <c r="I1082" s="9">
        <v>10.206251</v>
      </c>
      <c r="J1082" s="7" t="s">
        <v>36</v>
      </c>
      <c r="K1082" s="7" t="s">
        <v>37</v>
      </c>
      <c r="L1082" s="7"/>
      <c r="M1082" s="10">
        <v>1.23</v>
      </c>
      <c r="N1082" s="7" t="s">
        <v>38</v>
      </c>
      <c r="O1082" s="7"/>
      <c r="P1082" s="8" t="s">
        <v>39</v>
      </c>
      <c r="Q1082">
        <v>5.05</v>
      </c>
      <c r="R1082">
        <v>41.7</v>
      </c>
      <c r="S1082" t="s">
        <v>40</v>
      </c>
      <c r="T1082">
        <v>18</v>
      </c>
      <c r="U1082">
        <f t="shared" si="80"/>
        <v>90.899999999999991</v>
      </c>
      <c r="V1082">
        <v>0.6</v>
      </c>
      <c r="W1082">
        <v>0</v>
      </c>
      <c r="X1082">
        <v>0</v>
      </c>
      <c r="Y1082">
        <f t="shared" si="81"/>
        <v>0</v>
      </c>
      <c r="Z1082">
        <f t="shared" si="82"/>
        <v>54.539999999999992</v>
      </c>
      <c r="AA1082">
        <f t="shared" si="83"/>
        <v>54.539999999999992</v>
      </c>
      <c r="AB1082">
        <f t="shared" si="84"/>
        <v>67.084199999999996</v>
      </c>
    </row>
    <row r="1083" spans="1:28" ht="25.5" x14ac:dyDescent="0.25">
      <c r="A1083" s="7">
        <v>1082</v>
      </c>
      <c r="B1083" s="7" t="s">
        <v>15</v>
      </c>
      <c r="C1083" s="7" t="s">
        <v>41</v>
      </c>
      <c r="D1083" s="7" t="s">
        <v>1179</v>
      </c>
      <c r="E1083" s="7"/>
      <c r="F1083" s="8"/>
      <c r="G1083" s="7" t="s">
        <v>1179</v>
      </c>
      <c r="H1083" s="9">
        <v>36.634214</v>
      </c>
      <c r="I1083" s="9">
        <v>9.5969149999999992</v>
      </c>
      <c r="J1083" s="7" t="s">
        <v>43</v>
      </c>
      <c r="K1083" s="7" t="s">
        <v>37</v>
      </c>
      <c r="L1083" s="7"/>
      <c r="M1083" s="10">
        <v>24.66</v>
      </c>
      <c r="N1083" s="7" t="s">
        <v>44</v>
      </c>
      <c r="O1083" s="7"/>
      <c r="P1083" s="8" t="s">
        <v>39</v>
      </c>
      <c r="Q1083">
        <v>2.72</v>
      </c>
      <c r="R1083">
        <v>23</v>
      </c>
      <c r="S1083" t="s">
        <v>53</v>
      </c>
      <c r="T1083">
        <v>18</v>
      </c>
      <c r="U1083">
        <f t="shared" si="80"/>
        <v>48.96</v>
      </c>
      <c r="V1083">
        <v>1.1499999999999999</v>
      </c>
      <c r="W1083">
        <v>0</v>
      </c>
      <c r="X1083">
        <v>0</v>
      </c>
      <c r="Y1083">
        <f t="shared" si="81"/>
        <v>0</v>
      </c>
      <c r="Z1083">
        <f t="shared" si="82"/>
        <v>56.303999999999995</v>
      </c>
      <c r="AA1083">
        <f t="shared" si="83"/>
        <v>56.303999999999995</v>
      </c>
      <c r="AB1083">
        <f t="shared" si="84"/>
        <v>1388.4566399999999</v>
      </c>
    </row>
    <row r="1084" spans="1:28" ht="25.5" x14ac:dyDescent="0.25">
      <c r="A1084" s="7">
        <v>1083</v>
      </c>
      <c r="B1084" s="7" t="s">
        <v>15</v>
      </c>
      <c r="C1084" s="7" t="s">
        <v>45</v>
      </c>
      <c r="D1084" s="7" t="s">
        <v>1180</v>
      </c>
      <c r="E1084" s="7"/>
      <c r="F1084" s="8"/>
      <c r="G1084" s="7" t="s">
        <v>1180</v>
      </c>
      <c r="H1084" s="9">
        <v>36.627113000000001</v>
      </c>
      <c r="I1084" s="9">
        <v>10.292313999999999</v>
      </c>
      <c r="J1084" s="7" t="s">
        <v>47</v>
      </c>
      <c r="K1084" s="7" t="s">
        <v>37</v>
      </c>
      <c r="L1084" s="7"/>
      <c r="M1084" s="10">
        <v>15.34</v>
      </c>
      <c r="N1084" s="7" t="s">
        <v>48</v>
      </c>
      <c r="O1084" s="7"/>
      <c r="P1084" s="8" t="s">
        <v>39</v>
      </c>
      <c r="Q1084">
        <v>6.56</v>
      </c>
      <c r="R1084">
        <v>19.399999999999999</v>
      </c>
      <c r="S1084" t="s">
        <v>53</v>
      </c>
      <c r="T1084">
        <v>16</v>
      </c>
      <c r="U1084">
        <f t="shared" si="80"/>
        <v>104.96</v>
      </c>
      <c r="V1084">
        <v>1.03</v>
      </c>
      <c r="W1084">
        <v>0</v>
      </c>
      <c r="X1084">
        <v>0</v>
      </c>
      <c r="Y1084">
        <f t="shared" si="81"/>
        <v>0</v>
      </c>
      <c r="Z1084">
        <f t="shared" si="82"/>
        <v>108.1088</v>
      </c>
      <c r="AA1084">
        <f t="shared" si="83"/>
        <v>108.1088</v>
      </c>
      <c r="AB1084">
        <f t="shared" si="84"/>
        <v>1658.3889919999999</v>
      </c>
    </row>
    <row r="1085" spans="1:28" ht="25.5" x14ac:dyDescent="0.25">
      <c r="A1085" s="7">
        <v>1084</v>
      </c>
      <c r="B1085" s="7" t="s">
        <v>15</v>
      </c>
      <c r="C1085" s="7" t="s">
        <v>49</v>
      </c>
      <c r="D1085" s="7" t="s">
        <v>1181</v>
      </c>
      <c r="E1085" s="7"/>
      <c r="F1085" s="8"/>
      <c r="G1085" s="7" t="s">
        <v>1181</v>
      </c>
      <c r="H1085" s="9">
        <v>37.166988000000003</v>
      </c>
      <c r="I1085" s="9">
        <v>9.8108350000000009</v>
      </c>
      <c r="J1085" s="7" t="s">
        <v>51</v>
      </c>
      <c r="K1085" s="7" t="s">
        <v>37</v>
      </c>
      <c r="L1085" s="7"/>
      <c r="M1085" s="10">
        <v>24.38</v>
      </c>
      <c r="N1085" s="7" t="s">
        <v>52</v>
      </c>
      <c r="O1085" s="7"/>
      <c r="P1085" s="8" t="s">
        <v>39</v>
      </c>
      <c r="Q1085">
        <v>2.44</v>
      </c>
      <c r="R1085">
        <v>11.1</v>
      </c>
      <c r="S1085" t="s">
        <v>91</v>
      </c>
      <c r="T1085">
        <v>12</v>
      </c>
      <c r="U1085">
        <f t="shared" si="80"/>
        <v>29.28</v>
      </c>
      <c r="V1085">
        <v>1.49</v>
      </c>
      <c r="W1085">
        <v>0</v>
      </c>
      <c r="X1085">
        <v>0</v>
      </c>
      <c r="Y1085">
        <f t="shared" si="81"/>
        <v>0</v>
      </c>
      <c r="Z1085">
        <f t="shared" si="82"/>
        <v>43.627200000000002</v>
      </c>
      <c r="AA1085">
        <f t="shared" si="83"/>
        <v>43.627200000000002</v>
      </c>
      <c r="AB1085">
        <f t="shared" si="84"/>
        <v>1063.631136</v>
      </c>
    </row>
    <row r="1086" spans="1:28" ht="25.5" x14ac:dyDescent="0.25">
      <c r="A1086" s="7">
        <v>1085</v>
      </c>
      <c r="B1086" s="7" t="s">
        <v>15</v>
      </c>
      <c r="C1086" s="7" t="s">
        <v>54</v>
      </c>
      <c r="D1086" s="7" t="s">
        <v>1182</v>
      </c>
      <c r="E1086" s="7"/>
      <c r="F1086" s="8"/>
      <c r="G1086" s="7" t="s">
        <v>1182</v>
      </c>
      <c r="H1086" s="9">
        <v>33.611113000000003</v>
      </c>
      <c r="I1086" s="9">
        <v>10.282659000000001</v>
      </c>
      <c r="J1086" s="7" t="s">
        <v>56</v>
      </c>
      <c r="K1086" s="7" t="s">
        <v>37</v>
      </c>
      <c r="L1086" s="7"/>
      <c r="M1086" s="10">
        <v>3.25</v>
      </c>
      <c r="N1086" s="7" t="s">
        <v>57</v>
      </c>
      <c r="O1086" s="7"/>
      <c r="P1086" s="8" t="s">
        <v>39</v>
      </c>
      <c r="Q1086">
        <v>6.06</v>
      </c>
      <c r="R1086">
        <v>40.200000000000003</v>
      </c>
      <c r="S1086" t="s">
        <v>40</v>
      </c>
      <c r="T1086">
        <v>8</v>
      </c>
      <c r="U1086">
        <f t="shared" si="80"/>
        <v>48.48</v>
      </c>
      <c r="V1086">
        <v>0.72</v>
      </c>
      <c r="W1086">
        <v>50</v>
      </c>
      <c r="X1086">
        <v>0.35</v>
      </c>
      <c r="Y1086">
        <f t="shared" si="81"/>
        <v>17.5</v>
      </c>
      <c r="Z1086">
        <f t="shared" si="82"/>
        <v>34.9056</v>
      </c>
      <c r="AA1086">
        <f t="shared" si="83"/>
        <v>17.4056</v>
      </c>
      <c r="AB1086">
        <f t="shared" si="84"/>
        <v>56.568199999999997</v>
      </c>
    </row>
    <row r="1087" spans="1:28" ht="25.5" x14ac:dyDescent="0.25">
      <c r="A1087" s="7">
        <v>1086</v>
      </c>
      <c r="B1087" s="7" t="s">
        <v>15</v>
      </c>
      <c r="C1087" s="7" t="s">
        <v>59</v>
      </c>
      <c r="D1087" s="7" t="s">
        <v>1183</v>
      </c>
      <c r="E1087" s="7"/>
      <c r="F1087" s="8"/>
      <c r="G1087" s="7" t="s">
        <v>1183</v>
      </c>
      <c r="H1087" s="9">
        <v>34.354244999999999</v>
      </c>
      <c r="I1087" s="9">
        <v>8.3898309999999992</v>
      </c>
      <c r="J1087" s="7" t="s">
        <v>61</v>
      </c>
      <c r="K1087" s="7" t="s">
        <v>37</v>
      </c>
      <c r="L1087" s="7"/>
      <c r="M1087" s="10">
        <v>13.82</v>
      </c>
      <c r="N1087" s="7" t="s">
        <v>62</v>
      </c>
      <c r="O1087" s="7"/>
      <c r="P1087" s="8" t="s">
        <v>39</v>
      </c>
      <c r="Q1087">
        <v>7.32</v>
      </c>
      <c r="R1087">
        <v>22.6</v>
      </c>
      <c r="S1087" t="s">
        <v>53</v>
      </c>
      <c r="T1087">
        <v>7</v>
      </c>
      <c r="U1087">
        <f t="shared" si="80"/>
        <v>51.24</v>
      </c>
      <c r="V1087">
        <v>1.26</v>
      </c>
      <c r="W1087">
        <v>160</v>
      </c>
      <c r="X1087">
        <v>0.35</v>
      </c>
      <c r="Y1087">
        <f t="shared" si="81"/>
        <v>56</v>
      </c>
      <c r="Z1087">
        <f t="shared" si="82"/>
        <v>64.562399999999997</v>
      </c>
      <c r="AA1087">
        <f t="shared" si="83"/>
        <v>8.5623999999999967</v>
      </c>
      <c r="AB1087">
        <f t="shared" si="84"/>
        <v>118.33236799999996</v>
      </c>
    </row>
    <row r="1088" spans="1:28" ht="25.5" x14ac:dyDescent="0.25">
      <c r="A1088" s="7">
        <v>1087</v>
      </c>
      <c r="B1088" s="7" t="s">
        <v>15</v>
      </c>
      <c r="C1088" s="7" t="s">
        <v>63</v>
      </c>
      <c r="D1088" s="7" t="s">
        <v>1184</v>
      </c>
      <c r="E1088" s="7"/>
      <c r="F1088" s="8"/>
      <c r="G1088" s="7" t="s">
        <v>1184</v>
      </c>
      <c r="H1088" s="9">
        <v>36.951676999999997</v>
      </c>
      <c r="I1088" s="9">
        <v>8.7591920000000005</v>
      </c>
      <c r="J1088" s="7" t="s">
        <v>65</v>
      </c>
      <c r="K1088" s="7" t="s">
        <v>37</v>
      </c>
      <c r="L1088" s="7"/>
      <c r="M1088" s="10">
        <v>8.9700000000000006</v>
      </c>
      <c r="N1088" s="7" t="s">
        <v>66</v>
      </c>
      <c r="O1088" s="7"/>
      <c r="P1088" s="8" t="s">
        <v>39</v>
      </c>
      <c r="Q1088">
        <v>5.71</v>
      </c>
      <c r="R1088">
        <v>32.200000000000003</v>
      </c>
      <c r="S1088" t="s">
        <v>58</v>
      </c>
      <c r="T1088">
        <v>10</v>
      </c>
      <c r="U1088">
        <f t="shared" si="80"/>
        <v>57.1</v>
      </c>
      <c r="V1088">
        <v>0.72</v>
      </c>
      <c r="W1088">
        <v>0</v>
      </c>
      <c r="X1088">
        <v>0</v>
      </c>
      <c r="Y1088">
        <f t="shared" si="81"/>
        <v>0</v>
      </c>
      <c r="Z1088">
        <f t="shared" si="82"/>
        <v>41.112000000000002</v>
      </c>
      <c r="AA1088">
        <f t="shared" si="83"/>
        <v>41.112000000000002</v>
      </c>
      <c r="AB1088">
        <f t="shared" si="84"/>
        <v>368.77464000000003</v>
      </c>
    </row>
    <row r="1089" spans="1:28" ht="25.5" x14ac:dyDescent="0.25">
      <c r="A1089" s="7">
        <v>1088</v>
      </c>
      <c r="B1089" s="7" t="s">
        <v>15</v>
      </c>
      <c r="C1089" s="7" t="s">
        <v>67</v>
      </c>
      <c r="D1089" s="7" t="s">
        <v>1185</v>
      </c>
      <c r="E1089" s="7"/>
      <c r="F1089" s="8"/>
      <c r="G1089" s="7" t="s">
        <v>1185</v>
      </c>
      <c r="H1089" s="9">
        <v>35.622714000000002</v>
      </c>
      <c r="I1089" s="9">
        <v>9.9048160000000003</v>
      </c>
      <c r="J1089" s="7" t="s">
        <v>69</v>
      </c>
      <c r="K1089" s="7" t="s">
        <v>37</v>
      </c>
      <c r="L1089" s="7"/>
      <c r="M1089" s="10">
        <v>20.16</v>
      </c>
      <c r="N1089" s="7" t="s">
        <v>70</v>
      </c>
      <c r="O1089" s="7"/>
      <c r="P1089" s="8" t="s">
        <v>39</v>
      </c>
      <c r="Q1089">
        <v>5.99</v>
      </c>
      <c r="R1089">
        <v>22.8</v>
      </c>
      <c r="S1089" t="s">
        <v>53</v>
      </c>
      <c r="T1089">
        <v>9</v>
      </c>
      <c r="U1089">
        <f t="shared" si="80"/>
        <v>53.910000000000004</v>
      </c>
      <c r="V1089">
        <v>1.03</v>
      </c>
      <c r="W1089">
        <v>120</v>
      </c>
      <c r="X1089">
        <v>0.35</v>
      </c>
      <c r="Y1089">
        <f t="shared" si="81"/>
        <v>42</v>
      </c>
      <c r="Z1089">
        <f t="shared" si="82"/>
        <v>55.527300000000004</v>
      </c>
      <c r="AA1089">
        <f t="shared" si="83"/>
        <v>13.527300000000004</v>
      </c>
      <c r="AB1089">
        <f t="shared" si="84"/>
        <v>272.71036800000007</v>
      </c>
    </row>
    <row r="1090" spans="1:28" ht="25.5" x14ac:dyDescent="0.25">
      <c r="A1090" s="7">
        <v>1089</v>
      </c>
      <c r="B1090" s="7" t="s">
        <v>15</v>
      </c>
      <c r="C1090" s="7" t="s">
        <v>71</v>
      </c>
      <c r="D1090" s="7" t="s">
        <v>1186</v>
      </c>
      <c r="E1090" s="7"/>
      <c r="F1090" s="8"/>
      <c r="G1090" s="7" t="s">
        <v>1186</v>
      </c>
      <c r="H1090" s="9">
        <v>35.243254999999998</v>
      </c>
      <c r="I1090" s="9">
        <v>9.1335149999999992</v>
      </c>
      <c r="J1090" s="7" t="s">
        <v>73</v>
      </c>
      <c r="K1090" s="7" t="s">
        <v>37</v>
      </c>
      <c r="L1090" s="7"/>
      <c r="M1090" s="10">
        <v>1.91</v>
      </c>
      <c r="N1090" s="7" t="s">
        <v>74</v>
      </c>
      <c r="O1090" s="7"/>
      <c r="P1090" s="8" t="s">
        <v>39</v>
      </c>
      <c r="Q1090">
        <v>1.8</v>
      </c>
      <c r="R1090">
        <v>25.1</v>
      </c>
      <c r="S1090" t="s">
        <v>58</v>
      </c>
      <c r="T1090">
        <v>10</v>
      </c>
      <c r="U1090">
        <f t="shared" ref="U1090:U1121" si="85">Q1090*T1090</f>
        <v>18</v>
      </c>
      <c r="V1090">
        <v>0.81</v>
      </c>
      <c r="W1090">
        <v>0</v>
      </c>
      <c r="X1090">
        <v>0</v>
      </c>
      <c r="Y1090">
        <f t="shared" ref="Y1090:Y1121" si="86">W1090*X1090</f>
        <v>0</v>
      </c>
      <c r="Z1090">
        <f t="shared" ref="Z1090:Z1121" si="87">U1090*V1090</f>
        <v>14.580000000000002</v>
      </c>
      <c r="AA1090">
        <f t="shared" ref="AA1090:AA1121" si="88">MAX(0,Z1090-Y1090)</f>
        <v>14.580000000000002</v>
      </c>
      <c r="AB1090">
        <f t="shared" si="84"/>
        <v>27.847800000000003</v>
      </c>
    </row>
    <row r="1091" spans="1:28" ht="25.5" x14ac:dyDescent="0.25">
      <c r="A1091" s="7">
        <v>1090</v>
      </c>
      <c r="B1091" s="7" t="s">
        <v>15</v>
      </c>
      <c r="C1091" s="7" t="s">
        <v>75</v>
      </c>
      <c r="D1091" s="7" t="s">
        <v>1187</v>
      </c>
      <c r="E1091" s="7"/>
      <c r="F1091" s="8"/>
      <c r="G1091" s="7" t="s">
        <v>1187</v>
      </c>
      <c r="H1091" s="9">
        <v>33.469225000000002</v>
      </c>
      <c r="I1091" s="9">
        <v>8.9994879999999995</v>
      </c>
      <c r="J1091" s="7" t="s">
        <v>77</v>
      </c>
      <c r="K1091" s="7" t="s">
        <v>37</v>
      </c>
      <c r="L1091" s="7"/>
      <c r="M1091" s="10">
        <v>1.86</v>
      </c>
      <c r="N1091" s="7" t="s">
        <v>78</v>
      </c>
      <c r="O1091" s="7"/>
      <c r="P1091" s="8" t="s">
        <v>39</v>
      </c>
      <c r="Q1091">
        <v>4.9800000000000004</v>
      </c>
      <c r="R1091">
        <v>24.8</v>
      </c>
      <c r="S1091" t="s">
        <v>53</v>
      </c>
      <c r="T1091">
        <v>14</v>
      </c>
      <c r="U1091">
        <f t="shared" si="85"/>
        <v>69.72</v>
      </c>
      <c r="V1091">
        <v>1.1499999999999999</v>
      </c>
      <c r="W1091">
        <v>120</v>
      </c>
      <c r="X1091">
        <v>0.35</v>
      </c>
      <c r="Y1091">
        <f t="shared" si="86"/>
        <v>42</v>
      </c>
      <c r="Z1091">
        <f t="shared" si="87"/>
        <v>80.177999999999997</v>
      </c>
      <c r="AA1091">
        <f t="shared" si="88"/>
        <v>38.177999999999997</v>
      </c>
      <c r="AB1091">
        <f t="shared" ref="AB1091:AB1121" si="89">AA1091*M1091</f>
        <v>71.011079999999993</v>
      </c>
    </row>
    <row r="1092" spans="1:28" ht="25.5" x14ac:dyDescent="0.25">
      <c r="A1092" s="7">
        <v>1091</v>
      </c>
      <c r="B1092" s="7" t="s">
        <v>15</v>
      </c>
      <c r="C1092" s="7" t="s">
        <v>79</v>
      </c>
      <c r="D1092" s="7" t="s">
        <v>1188</v>
      </c>
      <c r="E1092" s="7"/>
      <c r="F1092" s="8"/>
      <c r="G1092" s="7" t="s">
        <v>1188</v>
      </c>
      <c r="H1092" s="9">
        <v>35.912519000000003</v>
      </c>
      <c r="I1092" s="9">
        <v>8.8544640000000001</v>
      </c>
      <c r="J1092" s="7" t="s">
        <v>81</v>
      </c>
      <c r="K1092" s="7" t="s">
        <v>37</v>
      </c>
      <c r="L1092" s="7"/>
      <c r="M1092" s="10">
        <v>2.0299999999999998</v>
      </c>
      <c r="N1092" s="7" t="s">
        <v>38</v>
      </c>
      <c r="O1092" s="7"/>
      <c r="P1092" s="8" t="s">
        <v>39</v>
      </c>
      <c r="Q1092">
        <v>7.62</v>
      </c>
      <c r="R1092">
        <v>32.299999999999997</v>
      </c>
      <c r="S1092" t="s">
        <v>58</v>
      </c>
      <c r="T1092">
        <v>18</v>
      </c>
      <c r="U1092">
        <f t="shared" si="85"/>
        <v>137.16</v>
      </c>
      <c r="V1092">
        <v>0.9</v>
      </c>
      <c r="W1092">
        <v>0</v>
      </c>
      <c r="X1092">
        <v>0</v>
      </c>
      <c r="Y1092">
        <f t="shared" si="86"/>
        <v>0</v>
      </c>
      <c r="Z1092">
        <f t="shared" si="87"/>
        <v>123.444</v>
      </c>
      <c r="AA1092">
        <f t="shared" si="88"/>
        <v>123.444</v>
      </c>
      <c r="AB1092">
        <f t="shared" si="89"/>
        <v>250.59131999999997</v>
      </c>
    </row>
    <row r="1093" spans="1:28" ht="25.5" x14ac:dyDescent="0.25">
      <c r="A1093" s="7">
        <v>1092</v>
      </c>
      <c r="B1093" s="7" t="s">
        <v>15</v>
      </c>
      <c r="C1093" s="7" t="s">
        <v>82</v>
      </c>
      <c r="D1093" s="7" t="s">
        <v>1189</v>
      </c>
      <c r="E1093" s="7"/>
      <c r="F1093" s="8"/>
      <c r="G1093" s="7" t="s">
        <v>1189</v>
      </c>
      <c r="H1093" s="9">
        <v>35.254555000000003</v>
      </c>
      <c r="I1093" s="9">
        <v>11.105420000000001</v>
      </c>
      <c r="J1093" s="7" t="s">
        <v>84</v>
      </c>
      <c r="K1093" s="7" t="s">
        <v>37</v>
      </c>
      <c r="L1093" s="7"/>
      <c r="M1093" s="10">
        <v>16.89</v>
      </c>
      <c r="N1093" s="7" t="s">
        <v>44</v>
      </c>
      <c r="O1093" s="7"/>
      <c r="P1093" s="8" t="s">
        <v>39</v>
      </c>
      <c r="Q1093">
        <v>2.72</v>
      </c>
      <c r="R1093">
        <v>29</v>
      </c>
      <c r="S1093" t="s">
        <v>58</v>
      </c>
      <c r="T1093">
        <v>18</v>
      </c>
      <c r="U1093">
        <f t="shared" si="85"/>
        <v>48.96</v>
      </c>
      <c r="V1093">
        <v>0.9</v>
      </c>
      <c r="W1093">
        <v>50</v>
      </c>
      <c r="X1093">
        <v>0.35</v>
      </c>
      <c r="Y1093">
        <f t="shared" si="86"/>
        <v>17.5</v>
      </c>
      <c r="Z1093">
        <f t="shared" si="87"/>
        <v>44.064</v>
      </c>
      <c r="AA1093">
        <f t="shared" si="88"/>
        <v>26.564</v>
      </c>
      <c r="AB1093">
        <f t="shared" si="89"/>
        <v>448.66596000000004</v>
      </c>
    </row>
    <row r="1094" spans="1:28" ht="25.5" x14ac:dyDescent="0.25">
      <c r="A1094" s="7">
        <v>1093</v>
      </c>
      <c r="B1094" s="7" t="s">
        <v>15</v>
      </c>
      <c r="C1094" s="7" t="s">
        <v>85</v>
      </c>
      <c r="D1094" s="7" t="s">
        <v>1190</v>
      </c>
      <c r="E1094" s="7"/>
      <c r="F1094" s="8"/>
      <c r="G1094" s="7" t="s">
        <v>1190</v>
      </c>
      <c r="H1094" s="9">
        <v>36.853237</v>
      </c>
      <c r="I1094" s="9">
        <v>9.8486349999999998</v>
      </c>
      <c r="J1094" s="7" t="s">
        <v>87</v>
      </c>
      <c r="K1094" s="7" t="s">
        <v>37</v>
      </c>
      <c r="L1094" s="7"/>
      <c r="M1094" s="10">
        <v>23.49</v>
      </c>
      <c r="N1094" s="7" t="s">
        <v>48</v>
      </c>
      <c r="O1094" s="7"/>
      <c r="P1094" s="8" t="s">
        <v>39</v>
      </c>
      <c r="Q1094">
        <v>4.05</v>
      </c>
      <c r="R1094">
        <v>38.4</v>
      </c>
      <c r="S1094" t="s">
        <v>40</v>
      </c>
      <c r="T1094">
        <v>16</v>
      </c>
      <c r="U1094">
        <f t="shared" si="85"/>
        <v>64.8</v>
      </c>
      <c r="V1094">
        <v>0.54</v>
      </c>
      <c r="W1094">
        <v>50</v>
      </c>
      <c r="X1094">
        <v>0.35</v>
      </c>
      <c r="Y1094">
        <f t="shared" si="86"/>
        <v>17.5</v>
      </c>
      <c r="Z1094">
        <f t="shared" si="87"/>
        <v>34.991999999999997</v>
      </c>
      <c r="AA1094">
        <f t="shared" si="88"/>
        <v>17.491999999999997</v>
      </c>
      <c r="AB1094">
        <f t="shared" si="89"/>
        <v>410.88707999999991</v>
      </c>
    </row>
    <row r="1095" spans="1:28" ht="25.5" x14ac:dyDescent="0.25">
      <c r="A1095" s="7">
        <v>1094</v>
      </c>
      <c r="B1095" s="7" t="s">
        <v>15</v>
      </c>
      <c r="C1095" s="7" t="s">
        <v>88</v>
      </c>
      <c r="D1095" s="7" t="s">
        <v>1191</v>
      </c>
      <c r="E1095" s="7"/>
      <c r="F1095" s="8"/>
      <c r="G1095" s="7" t="s">
        <v>1191</v>
      </c>
      <c r="H1095" s="9">
        <v>33.824337999999997</v>
      </c>
      <c r="I1095" s="9">
        <v>11.010517</v>
      </c>
      <c r="J1095" s="7" t="s">
        <v>90</v>
      </c>
      <c r="K1095" s="7" t="s">
        <v>37</v>
      </c>
      <c r="L1095" s="7"/>
      <c r="M1095" s="10">
        <v>8.07</v>
      </c>
      <c r="N1095" s="7" t="s">
        <v>52</v>
      </c>
      <c r="O1095" s="7"/>
      <c r="P1095" s="8" t="s">
        <v>39</v>
      </c>
      <c r="Q1095">
        <v>4.28</v>
      </c>
      <c r="R1095">
        <v>22.3</v>
      </c>
      <c r="S1095" t="s">
        <v>53</v>
      </c>
      <c r="T1095">
        <v>12</v>
      </c>
      <c r="U1095">
        <f t="shared" si="85"/>
        <v>51.36</v>
      </c>
      <c r="V1095">
        <v>1.26</v>
      </c>
      <c r="W1095">
        <v>120</v>
      </c>
      <c r="X1095">
        <v>0.35</v>
      </c>
      <c r="Y1095">
        <f t="shared" si="86"/>
        <v>42</v>
      </c>
      <c r="Z1095">
        <f t="shared" si="87"/>
        <v>64.7136</v>
      </c>
      <c r="AA1095">
        <f t="shared" si="88"/>
        <v>22.7136</v>
      </c>
      <c r="AB1095">
        <f t="shared" si="89"/>
        <v>183.29875200000001</v>
      </c>
    </row>
    <row r="1096" spans="1:28" ht="25.5" x14ac:dyDescent="0.25">
      <c r="A1096" s="7">
        <v>1095</v>
      </c>
      <c r="B1096" s="7" t="s">
        <v>15</v>
      </c>
      <c r="C1096" s="7" t="s">
        <v>92</v>
      </c>
      <c r="D1096" s="7" t="s">
        <v>1192</v>
      </c>
      <c r="E1096" s="7"/>
      <c r="F1096" s="8"/>
      <c r="G1096" s="7" t="s">
        <v>1192</v>
      </c>
      <c r="H1096" s="9">
        <v>35.620645000000003</v>
      </c>
      <c r="I1096" s="9">
        <v>10.752685</v>
      </c>
      <c r="J1096" s="7" t="s">
        <v>94</v>
      </c>
      <c r="K1096" s="7" t="s">
        <v>37</v>
      </c>
      <c r="L1096" s="7"/>
      <c r="M1096" s="10">
        <v>8.2100000000000009</v>
      </c>
      <c r="N1096" s="7" t="s">
        <v>57</v>
      </c>
      <c r="O1096" s="7"/>
      <c r="P1096" s="8" t="s">
        <v>39</v>
      </c>
      <c r="Q1096">
        <v>6.39</v>
      </c>
      <c r="R1096">
        <v>25.9</v>
      </c>
      <c r="S1096" t="s">
        <v>58</v>
      </c>
      <c r="T1096">
        <v>8</v>
      </c>
      <c r="U1096">
        <f t="shared" si="85"/>
        <v>51.12</v>
      </c>
      <c r="V1096">
        <v>1.08</v>
      </c>
      <c r="W1096">
        <v>0</v>
      </c>
      <c r="X1096">
        <v>0</v>
      </c>
      <c r="Y1096">
        <f t="shared" si="86"/>
        <v>0</v>
      </c>
      <c r="Z1096">
        <f t="shared" si="87"/>
        <v>55.209600000000002</v>
      </c>
      <c r="AA1096">
        <f t="shared" si="88"/>
        <v>55.209600000000002</v>
      </c>
      <c r="AB1096">
        <f t="shared" si="89"/>
        <v>453.27081600000008</v>
      </c>
    </row>
    <row r="1097" spans="1:28" ht="25.5" x14ac:dyDescent="0.25">
      <c r="A1097" s="7">
        <v>1096</v>
      </c>
      <c r="B1097" s="7" t="s">
        <v>15</v>
      </c>
      <c r="C1097" s="7" t="s">
        <v>95</v>
      </c>
      <c r="D1097" s="7" t="s">
        <v>1193</v>
      </c>
      <c r="E1097" s="7"/>
      <c r="F1097" s="8"/>
      <c r="G1097" s="7" t="s">
        <v>1193</v>
      </c>
      <c r="H1097" s="9">
        <v>36.589145000000002</v>
      </c>
      <c r="I1097" s="9">
        <v>10.851951</v>
      </c>
      <c r="J1097" s="7" t="s">
        <v>97</v>
      </c>
      <c r="K1097" s="7" t="s">
        <v>37</v>
      </c>
      <c r="L1097" s="7"/>
      <c r="M1097" s="10">
        <v>11.98</v>
      </c>
      <c r="N1097" s="7" t="s">
        <v>62</v>
      </c>
      <c r="O1097" s="7"/>
      <c r="P1097" s="8" t="s">
        <v>39</v>
      </c>
      <c r="Q1097">
        <v>5.37</v>
      </c>
      <c r="R1097">
        <v>15.8</v>
      </c>
      <c r="S1097" t="s">
        <v>53</v>
      </c>
      <c r="T1097">
        <v>7</v>
      </c>
      <c r="U1097">
        <f t="shared" si="85"/>
        <v>37.590000000000003</v>
      </c>
      <c r="V1097">
        <v>1.26</v>
      </c>
      <c r="W1097">
        <v>0</v>
      </c>
      <c r="X1097">
        <v>0</v>
      </c>
      <c r="Y1097">
        <f t="shared" si="86"/>
        <v>0</v>
      </c>
      <c r="Z1097">
        <f t="shared" si="87"/>
        <v>47.363400000000006</v>
      </c>
      <c r="AA1097">
        <f t="shared" si="88"/>
        <v>47.363400000000006</v>
      </c>
      <c r="AB1097">
        <f t="shared" si="89"/>
        <v>567.41353200000003</v>
      </c>
    </row>
    <row r="1098" spans="1:28" ht="25.5" x14ac:dyDescent="0.25">
      <c r="A1098" s="7">
        <v>1097</v>
      </c>
      <c r="B1098" s="7" t="s">
        <v>15</v>
      </c>
      <c r="C1098" s="7" t="s">
        <v>98</v>
      </c>
      <c r="D1098" s="7" t="s">
        <v>1194</v>
      </c>
      <c r="E1098" s="7"/>
      <c r="F1098" s="8"/>
      <c r="G1098" s="7" t="s">
        <v>1194</v>
      </c>
      <c r="H1098" s="9">
        <v>34.734772999999997</v>
      </c>
      <c r="I1098" s="9">
        <v>10.482875</v>
      </c>
      <c r="J1098" s="7" t="s">
        <v>100</v>
      </c>
      <c r="K1098" s="7" t="s">
        <v>37</v>
      </c>
      <c r="L1098" s="7"/>
      <c r="M1098" s="10">
        <v>12.36</v>
      </c>
      <c r="N1098" s="7" t="s">
        <v>66</v>
      </c>
      <c r="O1098" s="7"/>
      <c r="P1098" s="8" t="s">
        <v>39</v>
      </c>
      <c r="Q1098">
        <v>7.66</v>
      </c>
      <c r="R1098">
        <v>35</v>
      </c>
      <c r="S1098" t="s">
        <v>40</v>
      </c>
      <c r="T1098">
        <v>10</v>
      </c>
      <c r="U1098">
        <f t="shared" si="85"/>
        <v>76.599999999999994</v>
      </c>
      <c r="V1098">
        <v>0.48</v>
      </c>
      <c r="W1098">
        <v>160</v>
      </c>
      <c r="X1098">
        <v>0.35</v>
      </c>
      <c r="Y1098">
        <f t="shared" si="86"/>
        <v>56</v>
      </c>
      <c r="Z1098">
        <f t="shared" si="87"/>
        <v>36.767999999999994</v>
      </c>
      <c r="AA1098">
        <f t="shared" si="88"/>
        <v>0</v>
      </c>
      <c r="AB1098">
        <f t="shared" si="89"/>
        <v>0</v>
      </c>
    </row>
    <row r="1099" spans="1:28" ht="25.5" x14ac:dyDescent="0.25">
      <c r="A1099" s="7">
        <v>1098</v>
      </c>
      <c r="B1099" s="7" t="s">
        <v>15</v>
      </c>
      <c r="C1099" s="7" t="s">
        <v>101</v>
      </c>
      <c r="D1099" s="7" t="s">
        <v>1195</v>
      </c>
      <c r="E1099" s="7"/>
      <c r="F1099" s="8"/>
      <c r="G1099" s="7" t="s">
        <v>1195</v>
      </c>
      <c r="H1099" s="9">
        <v>34.895235</v>
      </c>
      <c r="I1099" s="9">
        <v>9.7717930000000006</v>
      </c>
      <c r="J1099" s="7" t="s">
        <v>103</v>
      </c>
      <c r="K1099" s="7" t="s">
        <v>37</v>
      </c>
      <c r="L1099" s="7"/>
      <c r="M1099" s="10">
        <v>7.56</v>
      </c>
      <c r="N1099" s="7" t="s">
        <v>70</v>
      </c>
      <c r="O1099" s="7"/>
      <c r="P1099" s="8" t="s">
        <v>39</v>
      </c>
      <c r="Q1099">
        <v>2.99</v>
      </c>
      <c r="R1099">
        <v>27.1</v>
      </c>
      <c r="S1099" t="s">
        <v>58</v>
      </c>
      <c r="T1099">
        <v>9</v>
      </c>
      <c r="U1099">
        <f t="shared" si="85"/>
        <v>26.910000000000004</v>
      </c>
      <c r="V1099">
        <v>0.81</v>
      </c>
      <c r="W1099">
        <v>80</v>
      </c>
      <c r="X1099">
        <v>0.35</v>
      </c>
      <c r="Y1099">
        <f t="shared" si="86"/>
        <v>28</v>
      </c>
      <c r="Z1099">
        <f t="shared" si="87"/>
        <v>21.797100000000004</v>
      </c>
      <c r="AA1099">
        <f t="shared" si="88"/>
        <v>0</v>
      </c>
      <c r="AB1099">
        <f t="shared" si="89"/>
        <v>0</v>
      </c>
    </row>
    <row r="1100" spans="1:28" ht="25.5" x14ac:dyDescent="0.25">
      <c r="A1100" s="7">
        <v>1099</v>
      </c>
      <c r="B1100" s="7" t="s">
        <v>15</v>
      </c>
      <c r="C1100" s="7" t="s">
        <v>104</v>
      </c>
      <c r="D1100" s="7" t="s">
        <v>1196</v>
      </c>
      <c r="E1100" s="7"/>
      <c r="F1100" s="8"/>
      <c r="G1100" s="7" t="s">
        <v>1196</v>
      </c>
      <c r="H1100" s="9">
        <v>35.856180000000002</v>
      </c>
      <c r="I1100" s="9">
        <v>9.181476</v>
      </c>
      <c r="J1100" s="7" t="s">
        <v>106</v>
      </c>
      <c r="K1100" s="7" t="s">
        <v>37</v>
      </c>
      <c r="L1100" s="7"/>
      <c r="M1100" s="10">
        <v>2.5499999999999998</v>
      </c>
      <c r="N1100" s="7" t="s">
        <v>74</v>
      </c>
      <c r="O1100" s="7"/>
      <c r="P1100" s="8" t="s">
        <v>39</v>
      </c>
      <c r="Q1100">
        <v>6.12</v>
      </c>
      <c r="R1100">
        <v>25.4</v>
      </c>
      <c r="S1100" t="s">
        <v>58</v>
      </c>
      <c r="T1100">
        <v>10</v>
      </c>
      <c r="U1100">
        <f t="shared" si="85"/>
        <v>61.2</v>
      </c>
      <c r="V1100">
        <v>0.81</v>
      </c>
      <c r="W1100">
        <v>0</v>
      </c>
      <c r="X1100">
        <v>0</v>
      </c>
      <c r="Y1100">
        <f t="shared" si="86"/>
        <v>0</v>
      </c>
      <c r="Z1100">
        <f t="shared" si="87"/>
        <v>49.572000000000003</v>
      </c>
      <c r="AA1100">
        <f t="shared" si="88"/>
        <v>49.572000000000003</v>
      </c>
      <c r="AB1100">
        <f t="shared" si="89"/>
        <v>126.40859999999999</v>
      </c>
    </row>
    <row r="1101" spans="1:28" ht="25.5" x14ac:dyDescent="0.25">
      <c r="A1101" s="7">
        <v>1100</v>
      </c>
      <c r="B1101" s="7" t="s">
        <v>15</v>
      </c>
      <c r="C1101" s="7" t="s">
        <v>107</v>
      </c>
      <c r="D1101" s="7" t="s">
        <v>1197</v>
      </c>
      <c r="E1101" s="7"/>
      <c r="F1101" s="8"/>
      <c r="G1101" s="7" t="s">
        <v>1197</v>
      </c>
      <c r="H1101" s="9">
        <v>36.128135</v>
      </c>
      <c r="I1101" s="9">
        <v>10.362977000000001</v>
      </c>
      <c r="J1101" s="7" t="s">
        <v>109</v>
      </c>
      <c r="K1101" s="7" t="s">
        <v>37</v>
      </c>
      <c r="L1101" s="7"/>
      <c r="M1101" s="10">
        <v>22.71</v>
      </c>
      <c r="N1101" s="7" t="s">
        <v>78</v>
      </c>
      <c r="O1101" s="7"/>
      <c r="P1101" s="8" t="s">
        <v>39</v>
      </c>
      <c r="Q1101">
        <v>7.92</v>
      </c>
      <c r="R1101">
        <v>43.8</v>
      </c>
      <c r="S1101" t="s">
        <v>40</v>
      </c>
      <c r="T1101">
        <v>14</v>
      </c>
      <c r="U1101">
        <f t="shared" si="85"/>
        <v>110.88</v>
      </c>
      <c r="V1101">
        <v>0.6</v>
      </c>
      <c r="W1101">
        <v>50</v>
      </c>
      <c r="X1101">
        <v>0.35</v>
      </c>
      <c r="Y1101">
        <f t="shared" si="86"/>
        <v>17.5</v>
      </c>
      <c r="Z1101">
        <f t="shared" si="87"/>
        <v>66.527999999999992</v>
      </c>
      <c r="AA1101">
        <f t="shared" si="88"/>
        <v>49.027999999999992</v>
      </c>
      <c r="AB1101">
        <f t="shared" si="89"/>
        <v>1113.4258799999998</v>
      </c>
    </row>
    <row r="1102" spans="1:28" ht="25.5" x14ac:dyDescent="0.25">
      <c r="A1102" s="7">
        <v>1101</v>
      </c>
      <c r="B1102" s="7" t="s">
        <v>15</v>
      </c>
      <c r="C1102" s="7" t="s">
        <v>110</v>
      </c>
      <c r="D1102" s="7" t="s">
        <v>1198</v>
      </c>
      <c r="E1102" s="7"/>
      <c r="F1102" s="8"/>
      <c r="G1102" s="7" t="s">
        <v>1198</v>
      </c>
      <c r="H1102" s="9">
        <v>33.190092999999997</v>
      </c>
      <c r="I1102" s="9">
        <v>10.253102</v>
      </c>
      <c r="J1102" s="7" t="s">
        <v>112</v>
      </c>
      <c r="K1102" s="7" t="s">
        <v>37</v>
      </c>
      <c r="L1102" s="7"/>
      <c r="M1102" s="10">
        <v>11.32</v>
      </c>
      <c r="N1102" s="7" t="s">
        <v>38</v>
      </c>
      <c r="O1102" s="7"/>
      <c r="P1102" s="8" t="s">
        <v>39</v>
      </c>
      <c r="Q1102">
        <v>5.5</v>
      </c>
      <c r="R1102">
        <v>34.700000000000003</v>
      </c>
      <c r="S1102" t="s">
        <v>58</v>
      </c>
      <c r="T1102">
        <v>18</v>
      </c>
      <c r="U1102">
        <f t="shared" si="85"/>
        <v>99</v>
      </c>
      <c r="V1102">
        <v>0.9</v>
      </c>
      <c r="W1102">
        <v>0</v>
      </c>
      <c r="X1102">
        <v>0</v>
      </c>
      <c r="Y1102">
        <f t="shared" si="86"/>
        <v>0</v>
      </c>
      <c r="Z1102">
        <f t="shared" si="87"/>
        <v>89.100000000000009</v>
      </c>
      <c r="AA1102">
        <f t="shared" si="88"/>
        <v>89.100000000000009</v>
      </c>
      <c r="AB1102">
        <f t="shared" si="89"/>
        <v>1008.6120000000001</v>
      </c>
    </row>
    <row r="1103" spans="1:28" ht="25.5" x14ac:dyDescent="0.25">
      <c r="A1103" s="7">
        <v>1102</v>
      </c>
      <c r="B1103" s="7" t="s">
        <v>15</v>
      </c>
      <c r="C1103" s="7" t="s">
        <v>113</v>
      </c>
      <c r="D1103" s="7" t="s">
        <v>1199</v>
      </c>
      <c r="E1103" s="7"/>
      <c r="F1103" s="8"/>
      <c r="G1103" s="7" t="s">
        <v>1199</v>
      </c>
      <c r="H1103" s="9">
        <v>33.848590999999999</v>
      </c>
      <c r="I1103" s="9">
        <v>7.8794180000000003</v>
      </c>
      <c r="J1103" s="7" t="s">
        <v>115</v>
      </c>
      <c r="K1103" s="7" t="s">
        <v>37</v>
      </c>
      <c r="L1103" s="7"/>
      <c r="M1103" s="10">
        <v>20.85</v>
      </c>
      <c r="N1103" s="7" t="s">
        <v>44</v>
      </c>
      <c r="O1103" s="7"/>
      <c r="P1103" s="8" t="s">
        <v>39</v>
      </c>
      <c r="Q1103">
        <v>4.3099999999999996</v>
      </c>
      <c r="R1103">
        <v>12.5</v>
      </c>
      <c r="S1103" t="s">
        <v>91</v>
      </c>
      <c r="T1103">
        <v>18</v>
      </c>
      <c r="U1103">
        <f t="shared" si="85"/>
        <v>77.58</v>
      </c>
      <c r="V1103">
        <v>1.35</v>
      </c>
      <c r="W1103">
        <v>160</v>
      </c>
      <c r="X1103">
        <v>0.35</v>
      </c>
      <c r="Y1103">
        <f t="shared" si="86"/>
        <v>56</v>
      </c>
      <c r="Z1103">
        <f t="shared" si="87"/>
        <v>104.733</v>
      </c>
      <c r="AA1103">
        <f t="shared" si="88"/>
        <v>48.733000000000004</v>
      </c>
      <c r="AB1103">
        <f t="shared" si="89"/>
        <v>1016.0830500000002</v>
      </c>
    </row>
    <row r="1104" spans="1:28" ht="25.5" x14ac:dyDescent="0.25">
      <c r="A1104" s="7">
        <v>1103</v>
      </c>
      <c r="B1104" s="7" t="s">
        <v>15</v>
      </c>
      <c r="C1104" s="7" t="s">
        <v>116</v>
      </c>
      <c r="D1104" s="7" t="s">
        <v>1200</v>
      </c>
      <c r="E1104" s="7"/>
      <c r="F1104" s="8"/>
      <c r="G1104" s="7" t="s">
        <v>1200</v>
      </c>
      <c r="H1104" s="9">
        <v>36.850563999999999</v>
      </c>
      <c r="I1104" s="9">
        <v>10.312858</v>
      </c>
      <c r="J1104" s="7" t="s">
        <v>118</v>
      </c>
      <c r="K1104" s="7" t="s">
        <v>37</v>
      </c>
      <c r="L1104" s="7"/>
      <c r="M1104" s="10">
        <v>23.61</v>
      </c>
      <c r="N1104" s="7" t="s">
        <v>48</v>
      </c>
      <c r="O1104" s="7"/>
      <c r="P1104" s="8" t="s">
        <v>39</v>
      </c>
      <c r="Q1104">
        <v>5.81</v>
      </c>
      <c r="R1104">
        <v>11.1</v>
      </c>
      <c r="S1104" t="s">
        <v>91</v>
      </c>
      <c r="T1104">
        <v>16</v>
      </c>
      <c r="U1104">
        <f t="shared" si="85"/>
        <v>92.96</v>
      </c>
      <c r="V1104">
        <v>1.22</v>
      </c>
      <c r="W1104">
        <v>120</v>
      </c>
      <c r="X1104">
        <v>0.35</v>
      </c>
      <c r="Y1104">
        <f t="shared" si="86"/>
        <v>42</v>
      </c>
      <c r="Z1104">
        <f t="shared" si="87"/>
        <v>113.41119999999999</v>
      </c>
      <c r="AA1104">
        <f t="shared" si="88"/>
        <v>71.411199999999994</v>
      </c>
      <c r="AB1104">
        <f t="shared" si="89"/>
        <v>1686.0184319999998</v>
      </c>
    </row>
    <row r="1105" spans="1:28" ht="25.5" x14ac:dyDescent="0.25">
      <c r="A1105" s="7">
        <v>1104</v>
      </c>
      <c r="B1105" s="7" t="s">
        <v>15</v>
      </c>
      <c r="C1105" s="7" t="s">
        <v>119</v>
      </c>
      <c r="D1105" s="7" t="s">
        <v>1201</v>
      </c>
      <c r="E1105" s="7"/>
      <c r="F1105" s="8"/>
      <c r="G1105" s="7" t="s">
        <v>1201</v>
      </c>
      <c r="H1105" s="9">
        <v>36.367292999999997</v>
      </c>
      <c r="I1105" s="9">
        <v>9.6117629999999998</v>
      </c>
      <c r="J1105" s="7" t="s">
        <v>121</v>
      </c>
      <c r="K1105" s="7" t="s">
        <v>37</v>
      </c>
      <c r="L1105" s="7"/>
      <c r="M1105" s="10">
        <v>16.46</v>
      </c>
      <c r="N1105" s="7" t="s">
        <v>52</v>
      </c>
      <c r="O1105" s="7"/>
      <c r="P1105" s="8" t="s">
        <v>39</v>
      </c>
      <c r="Q1105">
        <v>7.95</v>
      </c>
      <c r="R1105">
        <v>30.8</v>
      </c>
      <c r="S1105" t="s">
        <v>58</v>
      </c>
      <c r="T1105">
        <v>12</v>
      </c>
      <c r="U1105">
        <f t="shared" si="85"/>
        <v>95.4</v>
      </c>
      <c r="V1105">
        <v>0.99</v>
      </c>
      <c r="W1105">
        <v>50</v>
      </c>
      <c r="X1105">
        <v>0.35</v>
      </c>
      <c r="Y1105">
        <f t="shared" si="86"/>
        <v>17.5</v>
      </c>
      <c r="Z1105">
        <f t="shared" si="87"/>
        <v>94.445999999999998</v>
      </c>
      <c r="AA1105">
        <f t="shared" si="88"/>
        <v>76.945999999999998</v>
      </c>
      <c r="AB1105">
        <f t="shared" si="89"/>
        <v>1266.53116</v>
      </c>
    </row>
    <row r="1106" spans="1:28" ht="25.5" x14ac:dyDescent="0.25">
      <c r="A1106" s="7">
        <v>1105</v>
      </c>
      <c r="B1106" s="7" t="s">
        <v>15</v>
      </c>
      <c r="C1106" s="7" t="s">
        <v>34</v>
      </c>
      <c r="D1106" s="7" t="s">
        <v>1202</v>
      </c>
      <c r="E1106" s="7"/>
      <c r="F1106" s="8"/>
      <c r="G1106" s="7" t="s">
        <v>1202</v>
      </c>
      <c r="H1106" s="9">
        <v>36.879624999999997</v>
      </c>
      <c r="I1106" s="9">
        <v>10.238882</v>
      </c>
      <c r="J1106" s="7" t="s">
        <v>36</v>
      </c>
      <c r="K1106" s="7" t="s">
        <v>37</v>
      </c>
      <c r="L1106" s="7"/>
      <c r="M1106" s="10">
        <v>4.4000000000000004</v>
      </c>
      <c r="N1106" s="7" t="s">
        <v>57</v>
      </c>
      <c r="O1106" s="7"/>
      <c r="P1106" s="8" t="s">
        <v>39</v>
      </c>
      <c r="Q1106">
        <v>3.53</v>
      </c>
      <c r="R1106">
        <v>10.4</v>
      </c>
      <c r="S1106" t="s">
        <v>91</v>
      </c>
      <c r="T1106">
        <v>8</v>
      </c>
      <c r="U1106">
        <f t="shared" si="85"/>
        <v>28.24</v>
      </c>
      <c r="V1106">
        <v>1.6</v>
      </c>
      <c r="W1106">
        <v>0</v>
      </c>
      <c r="X1106">
        <v>0</v>
      </c>
      <c r="Y1106">
        <f t="shared" si="86"/>
        <v>0</v>
      </c>
      <c r="Z1106">
        <f t="shared" si="87"/>
        <v>45.183999999999997</v>
      </c>
      <c r="AA1106">
        <f t="shared" si="88"/>
        <v>45.183999999999997</v>
      </c>
      <c r="AB1106">
        <f t="shared" si="89"/>
        <v>198.80960000000002</v>
      </c>
    </row>
    <row r="1107" spans="1:28" ht="25.5" x14ac:dyDescent="0.25">
      <c r="A1107" s="7">
        <v>1106</v>
      </c>
      <c r="B1107" s="7" t="s">
        <v>15</v>
      </c>
      <c r="C1107" s="7" t="s">
        <v>41</v>
      </c>
      <c r="D1107" s="7" t="s">
        <v>1203</v>
      </c>
      <c r="E1107" s="7"/>
      <c r="F1107" s="8"/>
      <c r="G1107" s="7" t="s">
        <v>1203</v>
      </c>
      <c r="H1107" s="9">
        <v>36.667631</v>
      </c>
      <c r="I1107" s="9">
        <v>9.6308509999999998</v>
      </c>
      <c r="J1107" s="7" t="s">
        <v>43</v>
      </c>
      <c r="K1107" s="7" t="s">
        <v>37</v>
      </c>
      <c r="L1107" s="7"/>
      <c r="M1107" s="10">
        <v>23.5</v>
      </c>
      <c r="N1107" s="7" t="s">
        <v>62</v>
      </c>
      <c r="O1107" s="7"/>
      <c r="P1107" s="8" t="s">
        <v>39</v>
      </c>
      <c r="Q1107">
        <v>7.76</v>
      </c>
      <c r="R1107">
        <v>19.399999999999999</v>
      </c>
      <c r="S1107" t="s">
        <v>53</v>
      </c>
      <c r="T1107">
        <v>7</v>
      </c>
      <c r="U1107">
        <f t="shared" si="85"/>
        <v>54.32</v>
      </c>
      <c r="V1107">
        <v>1.26</v>
      </c>
      <c r="W1107">
        <v>50</v>
      </c>
      <c r="X1107">
        <v>0.35</v>
      </c>
      <c r="Y1107">
        <f t="shared" si="86"/>
        <v>17.5</v>
      </c>
      <c r="Z1107">
        <f t="shared" si="87"/>
        <v>68.443200000000004</v>
      </c>
      <c r="AA1107">
        <f t="shared" si="88"/>
        <v>50.943200000000004</v>
      </c>
      <c r="AB1107">
        <f t="shared" si="89"/>
        <v>1197.1652000000001</v>
      </c>
    </row>
    <row r="1108" spans="1:28" ht="25.5" x14ac:dyDescent="0.25">
      <c r="A1108" s="7">
        <v>1107</v>
      </c>
      <c r="B1108" s="7" t="s">
        <v>15</v>
      </c>
      <c r="C1108" s="7" t="s">
        <v>45</v>
      </c>
      <c r="D1108" s="7" t="s">
        <v>1204</v>
      </c>
      <c r="E1108" s="7"/>
      <c r="F1108" s="8"/>
      <c r="G1108" s="7" t="s">
        <v>1204</v>
      </c>
      <c r="H1108" s="9">
        <v>36.597751000000002</v>
      </c>
      <c r="I1108" s="9">
        <v>10.310623</v>
      </c>
      <c r="J1108" s="7" t="s">
        <v>47</v>
      </c>
      <c r="K1108" s="7" t="s">
        <v>37</v>
      </c>
      <c r="L1108" s="7"/>
      <c r="M1108" s="10">
        <v>17.579999999999998</v>
      </c>
      <c r="N1108" s="7" t="s">
        <v>66</v>
      </c>
      <c r="O1108" s="7"/>
      <c r="P1108" s="8" t="s">
        <v>39</v>
      </c>
      <c r="Q1108">
        <v>5.55</v>
      </c>
      <c r="R1108">
        <v>41</v>
      </c>
      <c r="S1108" t="s">
        <v>40</v>
      </c>
      <c r="T1108">
        <v>10</v>
      </c>
      <c r="U1108">
        <f t="shared" si="85"/>
        <v>55.5</v>
      </c>
      <c r="V1108">
        <v>0.48</v>
      </c>
      <c r="W1108">
        <v>0</v>
      </c>
      <c r="X1108">
        <v>0</v>
      </c>
      <c r="Y1108">
        <f t="shared" si="86"/>
        <v>0</v>
      </c>
      <c r="Z1108">
        <f t="shared" si="87"/>
        <v>26.64</v>
      </c>
      <c r="AA1108">
        <f t="shared" si="88"/>
        <v>26.64</v>
      </c>
      <c r="AB1108">
        <f t="shared" si="89"/>
        <v>468.33119999999997</v>
      </c>
    </row>
    <row r="1109" spans="1:28" ht="25.5" x14ac:dyDescent="0.25">
      <c r="A1109" s="7">
        <v>1108</v>
      </c>
      <c r="B1109" s="7" t="s">
        <v>15</v>
      </c>
      <c r="C1109" s="7" t="s">
        <v>49</v>
      </c>
      <c r="D1109" s="7" t="s">
        <v>1205</v>
      </c>
      <c r="E1109" s="7"/>
      <c r="F1109" s="8"/>
      <c r="G1109" s="7" t="s">
        <v>1205</v>
      </c>
      <c r="H1109" s="9">
        <v>37.179510999999998</v>
      </c>
      <c r="I1109" s="9">
        <v>9.7743669999999998</v>
      </c>
      <c r="J1109" s="7" t="s">
        <v>51</v>
      </c>
      <c r="K1109" s="7" t="s">
        <v>37</v>
      </c>
      <c r="L1109" s="7"/>
      <c r="M1109" s="10">
        <v>16.75</v>
      </c>
      <c r="N1109" s="7" t="s">
        <v>70</v>
      </c>
      <c r="O1109" s="7"/>
      <c r="P1109" s="8" t="s">
        <v>39</v>
      </c>
      <c r="Q1109">
        <v>2.19</v>
      </c>
      <c r="R1109">
        <v>34.9</v>
      </c>
      <c r="S1109" t="s">
        <v>58</v>
      </c>
      <c r="T1109">
        <v>9</v>
      </c>
      <c r="U1109">
        <f t="shared" si="85"/>
        <v>19.71</v>
      </c>
      <c r="V1109">
        <v>0.81</v>
      </c>
      <c r="W1109">
        <v>120</v>
      </c>
      <c r="X1109">
        <v>0.35</v>
      </c>
      <c r="Y1109">
        <f t="shared" si="86"/>
        <v>42</v>
      </c>
      <c r="Z1109">
        <f t="shared" si="87"/>
        <v>15.965100000000001</v>
      </c>
      <c r="AA1109">
        <f t="shared" si="88"/>
        <v>0</v>
      </c>
      <c r="AB1109">
        <f t="shared" si="89"/>
        <v>0</v>
      </c>
    </row>
    <row r="1110" spans="1:28" ht="25.5" x14ac:dyDescent="0.25">
      <c r="A1110" s="7">
        <v>1109</v>
      </c>
      <c r="B1110" s="7" t="s">
        <v>15</v>
      </c>
      <c r="C1110" s="7" t="s">
        <v>54</v>
      </c>
      <c r="D1110" s="7" t="s">
        <v>1206</v>
      </c>
      <c r="E1110" s="7"/>
      <c r="F1110" s="8"/>
      <c r="G1110" s="7" t="s">
        <v>1206</v>
      </c>
      <c r="H1110" s="9">
        <v>33.620207999999998</v>
      </c>
      <c r="I1110" s="9">
        <v>10.307038</v>
      </c>
      <c r="J1110" s="7" t="s">
        <v>56</v>
      </c>
      <c r="K1110" s="7" t="s">
        <v>37</v>
      </c>
      <c r="L1110" s="7"/>
      <c r="M1110" s="10">
        <v>5.4</v>
      </c>
      <c r="N1110" s="7" t="s">
        <v>74</v>
      </c>
      <c r="O1110" s="7"/>
      <c r="P1110" s="8" t="s">
        <v>39</v>
      </c>
      <c r="Q1110">
        <v>5.68</v>
      </c>
      <c r="R1110">
        <v>32.200000000000003</v>
      </c>
      <c r="S1110" t="s">
        <v>58</v>
      </c>
      <c r="T1110">
        <v>10</v>
      </c>
      <c r="U1110">
        <f t="shared" si="85"/>
        <v>56.8</v>
      </c>
      <c r="V1110">
        <v>0.81</v>
      </c>
      <c r="W1110">
        <v>120</v>
      </c>
      <c r="X1110">
        <v>0.35</v>
      </c>
      <c r="Y1110">
        <f t="shared" si="86"/>
        <v>42</v>
      </c>
      <c r="Z1110">
        <f t="shared" si="87"/>
        <v>46.008000000000003</v>
      </c>
      <c r="AA1110">
        <f t="shared" si="88"/>
        <v>4.0080000000000027</v>
      </c>
      <c r="AB1110">
        <f t="shared" si="89"/>
        <v>21.643200000000014</v>
      </c>
    </row>
    <row r="1111" spans="1:28" ht="25.5" x14ac:dyDescent="0.25">
      <c r="A1111" s="7">
        <v>1110</v>
      </c>
      <c r="B1111" s="7" t="s">
        <v>15</v>
      </c>
      <c r="C1111" s="7" t="s">
        <v>59</v>
      </c>
      <c r="D1111" s="7" t="s">
        <v>1207</v>
      </c>
      <c r="E1111" s="7"/>
      <c r="F1111" s="8"/>
      <c r="G1111" s="7" t="s">
        <v>1207</v>
      </c>
      <c r="H1111" s="9">
        <v>34.348303999999999</v>
      </c>
      <c r="I1111" s="9">
        <v>8.4093649999999993</v>
      </c>
      <c r="J1111" s="7" t="s">
        <v>61</v>
      </c>
      <c r="K1111" s="7" t="s">
        <v>37</v>
      </c>
      <c r="L1111" s="7"/>
      <c r="M1111" s="10">
        <v>16.41</v>
      </c>
      <c r="N1111" s="7" t="s">
        <v>78</v>
      </c>
      <c r="O1111" s="7"/>
      <c r="P1111" s="8" t="s">
        <v>39</v>
      </c>
      <c r="Q1111">
        <v>3.89</v>
      </c>
      <c r="R1111">
        <v>25.1</v>
      </c>
      <c r="S1111" t="s">
        <v>58</v>
      </c>
      <c r="T1111">
        <v>14</v>
      </c>
      <c r="U1111">
        <f t="shared" si="85"/>
        <v>54.46</v>
      </c>
      <c r="V1111">
        <v>0.9</v>
      </c>
      <c r="W1111">
        <v>50</v>
      </c>
      <c r="X1111">
        <v>0.35</v>
      </c>
      <c r="Y1111">
        <f t="shared" si="86"/>
        <v>17.5</v>
      </c>
      <c r="Z1111">
        <f t="shared" si="87"/>
        <v>49.014000000000003</v>
      </c>
      <c r="AA1111">
        <f t="shared" si="88"/>
        <v>31.514000000000003</v>
      </c>
      <c r="AB1111">
        <f t="shared" si="89"/>
        <v>517.14474000000007</v>
      </c>
    </row>
    <row r="1112" spans="1:28" ht="25.5" x14ac:dyDescent="0.25">
      <c r="A1112" s="7">
        <v>1111</v>
      </c>
      <c r="B1112" s="7" t="s">
        <v>15</v>
      </c>
      <c r="C1112" s="7" t="s">
        <v>63</v>
      </c>
      <c r="D1112" s="7" t="s">
        <v>1208</v>
      </c>
      <c r="E1112" s="7"/>
      <c r="F1112" s="8"/>
      <c r="G1112" s="7" t="s">
        <v>1208</v>
      </c>
      <c r="H1112" s="9">
        <v>36.940019999999997</v>
      </c>
      <c r="I1112" s="9">
        <v>8.7297460000000004</v>
      </c>
      <c r="J1112" s="7" t="s">
        <v>65</v>
      </c>
      <c r="K1112" s="7" t="s">
        <v>37</v>
      </c>
      <c r="L1112" s="7"/>
      <c r="M1112" s="10">
        <v>3.65</v>
      </c>
      <c r="N1112" s="7" t="s">
        <v>38</v>
      </c>
      <c r="O1112" s="7"/>
      <c r="P1112" s="8" t="s">
        <v>39</v>
      </c>
      <c r="Q1112">
        <v>2.4300000000000002</v>
      </c>
      <c r="R1112">
        <v>27.1</v>
      </c>
      <c r="S1112" t="s">
        <v>58</v>
      </c>
      <c r="T1112">
        <v>18</v>
      </c>
      <c r="U1112">
        <f t="shared" si="85"/>
        <v>43.74</v>
      </c>
      <c r="V1112">
        <v>0.9</v>
      </c>
      <c r="W1112">
        <v>0</v>
      </c>
      <c r="X1112">
        <v>0</v>
      </c>
      <c r="Y1112">
        <f t="shared" si="86"/>
        <v>0</v>
      </c>
      <c r="Z1112">
        <f t="shared" si="87"/>
        <v>39.366</v>
      </c>
      <c r="AA1112">
        <f t="shared" si="88"/>
        <v>39.366</v>
      </c>
      <c r="AB1112">
        <f t="shared" si="89"/>
        <v>143.6859</v>
      </c>
    </row>
    <row r="1113" spans="1:28" ht="25.5" x14ac:dyDescent="0.25">
      <c r="A1113" s="7">
        <v>1112</v>
      </c>
      <c r="B1113" s="7" t="s">
        <v>15</v>
      </c>
      <c r="C1113" s="7" t="s">
        <v>67</v>
      </c>
      <c r="D1113" s="7" t="s">
        <v>1209</v>
      </c>
      <c r="E1113" s="7"/>
      <c r="F1113" s="8"/>
      <c r="G1113" s="7" t="s">
        <v>1209</v>
      </c>
      <c r="H1113" s="9">
        <v>35.619331000000003</v>
      </c>
      <c r="I1113" s="9">
        <v>9.9028670000000005</v>
      </c>
      <c r="J1113" s="7" t="s">
        <v>69</v>
      </c>
      <c r="K1113" s="7" t="s">
        <v>37</v>
      </c>
      <c r="L1113" s="7"/>
      <c r="M1113" s="10">
        <v>7.71</v>
      </c>
      <c r="N1113" s="7" t="s">
        <v>44</v>
      </c>
      <c r="O1113" s="7"/>
      <c r="P1113" s="8" t="s">
        <v>39</v>
      </c>
      <c r="Q1113">
        <v>2.75</v>
      </c>
      <c r="R1113">
        <v>10.5</v>
      </c>
      <c r="S1113" t="s">
        <v>91</v>
      </c>
      <c r="T1113">
        <v>18</v>
      </c>
      <c r="U1113">
        <f t="shared" si="85"/>
        <v>49.5</v>
      </c>
      <c r="V1113">
        <v>1.35</v>
      </c>
      <c r="W1113">
        <v>0</v>
      </c>
      <c r="X1113">
        <v>0</v>
      </c>
      <c r="Y1113">
        <f t="shared" si="86"/>
        <v>0</v>
      </c>
      <c r="Z1113">
        <f t="shared" si="87"/>
        <v>66.825000000000003</v>
      </c>
      <c r="AA1113">
        <f t="shared" si="88"/>
        <v>66.825000000000003</v>
      </c>
      <c r="AB1113">
        <f t="shared" si="89"/>
        <v>515.22075000000007</v>
      </c>
    </row>
    <row r="1114" spans="1:28" ht="25.5" x14ac:dyDescent="0.25">
      <c r="A1114" s="7">
        <v>1113</v>
      </c>
      <c r="B1114" s="7" t="s">
        <v>15</v>
      </c>
      <c r="C1114" s="7" t="s">
        <v>71</v>
      </c>
      <c r="D1114" s="7" t="s">
        <v>1210</v>
      </c>
      <c r="E1114" s="7"/>
      <c r="F1114" s="8"/>
      <c r="G1114" s="7" t="s">
        <v>1210</v>
      </c>
      <c r="H1114" s="9">
        <v>35.227227999999997</v>
      </c>
      <c r="I1114" s="9">
        <v>9.1001910000000006</v>
      </c>
      <c r="J1114" s="7" t="s">
        <v>73</v>
      </c>
      <c r="K1114" s="7" t="s">
        <v>37</v>
      </c>
      <c r="L1114" s="7"/>
      <c r="M1114" s="10">
        <v>19.39</v>
      </c>
      <c r="N1114" s="7" t="s">
        <v>48</v>
      </c>
      <c r="O1114" s="7"/>
      <c r="P1114" s="8" t="s">
        <v>39</v>
      </c>
      <c r="Q1114">
        <v>6.95</v>
      </c>
      <c r="R1114">
        <v>12.7</v>
      </c>
      <c r="S1114" t="s">
        <v>91</v>
      </c>
      <c r="T1114">
        <v>16</v>
      </c>
      <c r="U1114">
        <f t="shared" si="85"/>
        <v>111.2</v>
      </c>
      <c r="V1114">
        <v>1.22</v>
      </c>
      <c r="W1114">
        <v>0</v>
      </c>
      <c r="X1114">
        <v>0</v>
      </c>
      <c r="Y1114">
        <f t="shared" si="86"/>
        <v>0</v>
      </c>
      <c r="Z1114">
        <f t="shared" si="87"/>
        <v>135.66399999999999</v>
      </c>
      <c r="AA1114">
        <f t="shared" si="88"/>
        <v>135.66399999999999</v>
      </c>
      <c r="AB1114">
        <f t="shared" si="89"/>
        <v>2630.5249599999997</v>
      </c>
    </row>
    <row r="1115" spans="1:28" ht="25.5" x14ac:dyDescent="0.25">
      <c r="A1115" s="7">
        <v>1114</v>
      </c>
      <c r="B1115" s="7" t="s">
        <v>15</v>
      </c>
      <c r="C1115" s="7" t="s">
        <v>75</v>
      </c>
      <c r="D1115" s="7" t="s">
        <v>1211</v>
      </c>
      <c r="E1115" s="7"/>
      <c r="F1115" s="8"/>
      <c r="G1115" s="7" t="s">
        <v>1211</v>
      </c>
      <c r="H1115" s="9">
        <v>33.482104</v>
      </c>
      <c r="I1115" s="9">
        <v>9.0287640000000007</v>
      </c>
      <c r="J1115" s="7" t="s">
        <v>77</v>
      </c>
      <c r="K1115" s="7" t="s">
        <v>37</v>
      </c>
      <c r="L1115" s="7"/>
      <c r="M1115" s="10">
        <v>19.87</v>
      </c>
      <c r="N1115" s="7" t="s">
        <v>52</v>
      </c>
      <c r="O1115" s="7"/>
      <c r="P1115" s="8" t="s">
        <v>39</v>
      </c>
      <c r="Q1115">
        <v>5.73</v>
      </c>
      <c r="R1115">
        <v>40.5</v>
      </c>
      <c r="S1115" t="s">
        <v>40</v>
      </c>
      <c r="T1115">
        <v>12</v>
      </c>
      <c r="U1115">
        <f t="shared" si="85"/>
        <v>68.760000000000005</v>
      </c>
      <c r="V1115">
        <v>0.66</v>
      </c>
      <c r="W1115">
        <v>120</v>
      </c>
      <c r="X1115">
        <v>0.35</v>
      </c>
      <c r="Y1115">
        <f t="shared" si="86"/>
        <v>42</v>
      </c>
      <c r="Z1115">
        <f t="shared" si="87"/>
        <v>45.381600000000006</v>
      </c>
      <c r="AA1115">
        <f t="shared" si="88"/>
        <v>3.3816000000000059</v>
      </c>
      <c r="AB1115">
        <f t="shared" si="89"/>
        <v>67.192392000000126</v>
      </c>
    </row>
    <row r="1116" spans="1:28" ht="25.5" x14ac:dyDescent="0.25">
      <c r="A1116" s="7">
        <v>1115</v>
      </c>
      <c r="B1116" s="7" t="s">
        <v>15</v>
      </c>
      <c r="C1116" s="7" t="s">
        <v>79</v>
      </c>
      <c r="D1116" s="7" t="s">
        <v>1212</v>
      </c>
      <c r="E1116" s="7"/>
      <c r="F1116" s="8"/>
      <c r="G1116" s="7" t="s">
        <v>1212</v>
      </c>
      <c r="H1116" s="9">
        <v>35.923279000000001</v>
      </c>
      <c r="I1116" s="9">
        <v>8.8392839999999993</v>
      </c>
      <c r="J1116" s="7" t="s">
        <v>81</v>
      </c>
      <c r="K1116" s="7" t="s">
        <v>37</v>
      </c>
      <c r="L1116" s="7"/>
      <c r="M1116" s="10">
        <v>22.42</v>
      </c>
      <c r="N1116" s="7" t="s">
        <v>57</v>
      </c>
      <c r="O1116" s="7"/>
      <c r="P1116" s="8" t="s">
        <v>39</v>
      </c>
      <c r="Q1116">
        <v>4.38</v>
      </c>
      <c r="R1116">
        <v>16.5</v>
      </c>
      <c r="S1116" t="s">
        <v>53</v>
      </c>
      <c r="T1116">
        <v>8</v>
      </c>
      <c r="U1116">
        <f t="shared" si="85"/>
        <v>35.04</v>
      </c>
      <c r="V1116">
        <v>1.38</v>
      </c>
      <c r="W1116">
        <v>80</v>
      </c>
      <c r="X1116">
        <v>0.35</v>
      </c>
      <c r="Y1116">
        <f t="shared" si="86"/>
        <v>28</v>
      </c>
      <c r="Z1116">
        <f t="shared" si="87"/>
        <v>48.355199999999996</v>
      </c>
      <c r="AA1116">
        <f t="shared" si="88"/>
        <v>20.355199999999996</v>
      </c>
      <c r="AB1116">
        <f t="shared" si="89"/>
        <v>456.36358399999995</v>
      </c>
    </row>
    <row r="1117" spans="1:28" ht="25.5" x14ac:dyDescent="0.25">
      <c r="A1117" s="7">
        <v>1116</v>
      </c>
      <c r="B1117" s="7" t="s">
        <v>15</v>
      </c>
      <c r="C1117" s="7" t="s">
        <v>82</v>
      </c>
      <c r="D1117" s="7" t="s">
        <v>1213</v>
      </c>
      <c r="E1117" s="7"/>
      <c r="F1117" s="8"/>
      <c r="G1117" s="7" t="s">
        <v>1213</v>
      </c>
      <c r="H1117" s="9">
        <v>35.242632</v>
      </c>
      <c r="I1117" s="9">
        <v>11.126185</v>
      </c>
      <c r="J1117" s="7" t="s">
        <v>84</v>
      </c>
      <c r="K1117" s="7" t="s">
        <v>37</v>
      </c>
      <c r="L1117" s="7"/>
      <c r="M1117" s="10">
        <v>6.3</v>
      </c>
      <c r="N1117" s="7" t="s">
        <v>62</v>
      </c>
      <c r="O1117" s="7"/>
      <c r="P1117" s="8" t="s">
        <v>39</v>
      </c>
      <c r="Q1117">
        <v>3.22</v>
      </c>
      <c r="R1117">
        <v>44.3</v>
      </c>
      <c r="S1117" t="s">
        <v>40</v>
      </c>
      <c r="T1117">
        <v>7</v>
      </c>
      <c r="U1117">
        <f t="shared" si="85"/>
        <v>22.540000000000003</v>
      </c>
      <c r="V1117">
        <v>0.66</v>
      </c>
      <c r="W1117">
        <v>160</v>
      </c>
      <c r="X1117">
        <v>0.35</v>
      </c>
      <c r="Y1117">
        <f t="shared" si="86"/>
        <v>56</v>
      </c>
      <c r="Z1117">
        <f t="shared" si="87"/>
        <v>14.876400000000002</v>
      </c>
      <c r="AA1117">
        <f t="shared" si="88"/>
        <v>0</v>
      </c>
      <c r="AB1117">
        <f t="shared" si="89"/>
        <v>0</v>
      </c>
    </row>
    <row r="1118" spans="1:28" ht="25.5" x14ac:dyDescent="0.25">
      <c r="A1118" s="7">
        <v>1117</v>
      </c>
      <c r="B1118" s="7" t="s">
        <v>15</v>
      </c>
      <c r="C1118" s="7" t="s">
        <v>85</v>
      </c>
      <c r="D1118" s="7" t="s">
        <v>1214</v>
      </c>
      <c r="E1118" s="7"/>
      <c r="F1118" s="8"/>
      <c r="G1118" s="7" t="s">
        <v>1214</v>
      </c>
      <c r="H1118" s="9">
        <v>36.855468999999999</v>
      </c>
      <c r="I1118" s="9">
        <v>9.8495240000000006</v>
      </c>
      <c r="J1118" s="7" t="s">
        <v>87</v>
      </c>
      <c r="K1118" s="7" t="s">
        <v>37</v>
      </c>
      <c r="L1118" s="7"/>
      <c r="M1118" s="10">
        <v>22.86</v>
      </c>
      <c r="N1118" s="7" t="s">
        <v>66</v>
      </c>
      <c r="O1118" s="7"/>
      <c r="P1118" s="8" t="s">
        <v>39</v>
      </c>
      <c r="Q1118">
        <v>5.65</v>
      </c>
      <c r="R1118">
        <v>33.1</v>
      </c>
      <c r="S1118" t="s">
        <v>58</v>
      </c>
      <c r="T1118">
        <v>10</v>
      </c>
      <c r="U1118">
        <f t="shared" si="85"/>
        <v>56.5</v>
      </c>
      <c r="V1118">
        <v>0.72</v>
      </c>
      <c r="W1118">
        <v>50</v>
      </c>
      <c r="X1118">
        <v>0.35</v>
      </c>
      <c r="Y1118">
        <f t="shared" si="86"/>
        <v>17.5</v>
      </c>
      <c r="Z1118">
        <f t="shared" si="87"/>
        <v>40.68</v>
      </c>
      <c r="AA1118">
        <f t="shared" si="88"/>
        <v>23.18</v>
      </c>
      <c r="AB1118">
        <f t="shared" si="89"/>
        <v>529.89480000000003</v>
      </c>
    </row>
    <row r="1119" spans="1:28" ht="25.5" x14ac:dyDescent="0.25">
      <c r="A1119" s="7">
        <v>1118</v>
      </c>
      <c r="B1119" s="7" t="s">
        <v>15</v>
      </c>
      <c r="C1119" s="7" t="s">
        <v>88</v>
      </c>
      <c r="D1119" s="7" t="s">
        <v>1215</v>
      </c>
      <c r="E1119" s="7"/>
      <c r="F1119" s="8"/>
      <c r="G1119" s="7" t="s">
        <v>1215</v>
      </c>
      <c r="H1119" s="9">
        <v>33.784246000000003</v>
      </c>
      <c r="I1119" s="9">
        <v>10.984928999999999</v>
      </c>
      <c r="J1119" s="7" t="s">
        <v>90</v>
      </c>
      <c r="K1119" s="7" t="s">
        <v>37</v>
      </c>
      <c r="L1119" s="7"/>
      <c r="M1119" s="10">
        <v>1.05</v>
      </c>
      <c r="N1119" s="7" t="s">
        <v>70</v>
      </c>
      <c r="O1119" s="7"/>
      <c r="P1119" s="8" t="s">
        <v>39</v>
      </c>
      <c r="Q1119">
        <v>6.53</v>
      </c>
      <c r="R1119">
        <v>19.2</v>
      </c>
      <c r="S1119" t="s">
        <v>53</v>
      </c>
      <c r="T1119">
        <v>9</v>
      </c>
      <c r="U1119">
        <f t="shared" si="85"/>
        <v>58.77</v>
      </c>
      <c r="V1119">
        <v>1.03</v>
      </c>
      <c r="W1119">
        <v>0</v>
      </c>
      <c r="X1119">
        <v>0</v>
      </c>
      <c r="Y1119">
        <f t="shared" si="86"/>
        <v>0</v>
      </c>
      <c r="Z1119">
        <f t="shared" si="87"/>
        <v>60.533100000000005</v>
      </c>
      <c r="AA1119">
        <f t="shared" si="88"/>
        <v>60.533100000000005</v>
      </c>
      <c r="AB1119">
        <f t="shared" si="89"/>
        <v>63.55975500000001</v>
      </c>
    </row>
    <row r="1120" spans="1:28" ht="25.5" x14ac:dyDescent="0.25">
      <c r="A1120" s="7">
        <v>1119</v>
      </c>
      <c r="B1120" s="7" t="s">
        <v>15</v>
      </c>
      <c r="C1120" s="7" t="s">
        <v>92</v>
      </c>
      <c r="D1120" s="7" t="s">
        <v>1216</v>
      </c>
      <c r="E1120" s="7"/>
      <c r="F1120" s="8"/>
      <c r="G1120" s="7" t="s">
        <v>1216</v>
      </c>
      <c r="H1120" s="9">
        <v>35.617353000000001</v>
      </c>
      <c r="I1120" s="9">
        <v>10.756005</v>
      </c>
      <c r="J1120" s="7" t="s">
        <v>94</v>
      </c>
      <c r="K1120" s="7" t="s">
        <v>37</v>
      </c>
      <c r="L1120" s="7"/>
      <c r="M1120" s="10">
        <v>17.3</v>
      </c>
      <c r="N1120" s="7" t="s">
        <v>74</v>
      </c>
      <c r="O1120" s="7"/>
      <c r="P1120" s="8" t="s">
        <v>39</v>
      </c>
      <c r="Q1120">
        <v>2.87</v>
      </c>
      <c r="R1120">
        <v>18.2</v>
      </c>
      <c r="S1120" t="s">
        <v>53</v>
      </c>
      <c r="T1120">
        <v>10</v>
      </c>
      <c r="U1120">
        <f t="shared" si="85"/>
        <v>28.700000000000003</v>
      </c>
      <c r="V1120">
        <v>1.03</v>
      </c>
      <c r="W1120">
        <v>0</v>
      </c>
      <c r="X1120">
        <v>0</v>
      </c>
      <c r="Y1120">
        <f t="shared" si="86"/>
        <v>0</v>
      </c>
      <c r="Z1120">
        <f t="shared" si="87"/>
        <v>29.561000000000003</v>
      </c>
      <c r="AA1120">
        <f t="shared" si="88"/>
        <v>29.561000000000003</v>
      </c>
      <c r="AB1120">
        <f t="shared" si="89"/>
        <v>511.40530000000007</v>
      </c>
    </row>
    <row r="1121" spans="1:28" ht="25.5" x14ac:dyDescent="0.25">
      <c r="A1121" s="7">
        <v>1120</v>
      </c>
      <c r="B1121" s="7" t="s">
        <v>15</v>
      </c>
      <c r="C1121" s="7" t="s">
        <v>95</v>
      </c>
      <c r="D1121" s="7" t="s">
        <v>1217</v>
      </c>
      <c r="E1121" s="7"/>
      <c r="F1121" s="8"/>
      <c r="G1121" s="7" t="s">
        <v>1217</v>
      </c>
      <c r="H1121" s="9">
        <v>36.583140999999998</v>
      </c>
      <c r="I1121" s="9">
        <v>10.866444</v>
      </c>
      <c r="J1121" s="7" t="s">
        <v>97</v>
      </c>
      <c r="K1121" s="7" t="s">
        <v>37</v>
      </c>
      <c r="L1121" s="7"/>
      <c r="M1121" s="10">
        <v>23.68</v>
      </c>
      <c r="N1121" s="7" t="s">
        <v>78</v>
      </c>
      <c r="O1121" s="7"/>
      <c r="P1121" s="8" t="s">
        <v>39</v>
      </c>
      <c r="Q1121">
        <v>4.91</v>
      </c>
      <c r="R1121">
        <v>25.4</v>
      </c>
      <c r="S1121" t="s">
        <v>58</v>
      </c>
      <c r="T1121">
        <v>14</v>
      </c>
      <c r="U1121">
        <f t="shared" si="85"/>
        <v>68.740000000000009</v>
      </c>
      <c r="V1121">
        <v>0.9</v>
      </c>
      <c r="W1121">
        <v>80</v>
      </c>
      <c r="X1121">
        <v>0.35</v>
      </c>
      <c r="Y1121">
        <f t="shared" si="86"/>
        <v>28</v>
      </c>
      <c r="Z1121">
        <f t="shared" si="87"/>
        <v>61.866000000000007</v>
      </c>
      <c r="AA1121">
        <f t="shared" si="88"/>
        <v>33.866000000000007</v>
      </c>
      <c r="AB1121">
        <f t="shared" si="89"/>
        <v>801.94688000000019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18"/>
  <sheetViews>
    <sheetView topLeftCell="A184" workbookViewId="0">
      <selection activeCell="E213" sqref="E213"/>
    </sheetView>
  </sheetViews>
  <sheetFormatPr baseColWidth="10" defaultRowHeight="15" x14ac:dyDescent="0.25"/>
  <cols>
    <col min="1" max="16384" width="11.42578125" style="11"/>
  </cols>
  <sheetData>
    <row r="2" spans="2:2" x14ac:dyDescent="0.25">
      <c r="B2" s="11" t="s">
        <v>1238</v>
      </c>
    </row>
    <row r="4" spans="2:2" ht="18" x14ac:dyDescent="0.25">
      <c r="B4" s="21" t="s">
        <v>1239</v>
      </c>
    </row>
    <row r="6" spans="2:2" x14ac:dyDescent="0.25">
      <c r="B6" s="11" t="s">
        <v>1240</v>
      </c>
    </row>
    <row r="8" spans="2:2" x14ac:dyDescent="0.25">
      <c r="B8" s="22" t="s">
        <v>1241</v>
      </c>
    </row>
    <row r="10" spans="2:2" x14ac:dyDescent="0.25">
      <c r="B10" s="11" t="s">
        <v>1242</v>
      </c>
    </row>
    <row r="11" spans="2:2" x14ac:dyDescent="0.25">
      <c r="B11" s="23"/>
    </row>
    <row r="12" spans="2:2" x14ac:dyDescent="0.25">
      <c r="B12" s="23" t="s">
        <v>1243</v>
      </c>
    </row>
    <row r="13" spans="2:2" x14ac:dyDescent="0.25">
      <c r="B13" s="23" t="s">
        <v>1244</v>
      </c>
    </row>
    <row r="15" spans="2:2" x14ac:dyDescent="0.25">
      <c r="B15" s="11" t="s">
        <v>1245</v>
      </c>
    </row>
    <row r="17" spans="2:2" x14ac:dyDescent="0.25">
      <c r="B17" s="22" t="s">
        <v>1246</v>
      </c>
    </row>
    <row r="18" spans="2:2" x14ac:dyDescent="0.25">
      <c r="B18" s="23"/>
    </row>
    <row r="19" spans="2:2" x14ac:dyDescent="0.25">
      <c r="B19" s="23" t="s">
        <v>1247</v>
      </c>
    </row>
    <row r="23" spans="2:2" ht="18" x14ac:dyDescent="0.25">
      <c r="B23" s="21" t="s">
        <v>1248</v>
      </c>
    </row>
    <row r="25" spans="2:2" x14ac:dyDescent="0.25">
      <c r="B25" s="11" t="s">
        <v>1249</v>
      </c>
    </row>
    <row r="27" spans="2:2" x14ac:dyDescent="0.25">
      <c r="B27" s="11" t="s">
        <v>1250</v>
      </c>
    </row>
    <row r="29" spans="2:2" x14ac:dyDescent="0.25">
      <c r="B29" s="22" t="s">
        <v>1251</v>
      </c>
    </row>
    <row r="31" spans="2:2" x14ac:dyDescent="0.25">
      <c r="B31" s="11" t="s">
        <v>1242</v>
      </c>
    </row>
    <row r="33" spans="2:4" ht="30" x14ac:dyDescent="0.25">
      <c r="B33" s="24" t="s">
        <v>1252</v>
      </c>
      <c r="C33" s="24" t="s">
        <v>1253</v>
      </c>
      <c r="D33" s="24" t="s">
        <v>1254</v>
      </c>
    </row>
    <row r="34" spans="2:4" ht="30" x14ac:dyDescent="0.25">
      <c r="B34" s="25" t="s">
        <v>1255</v>
      </c>
      <c r="C34" s="25" t="s">
        <v>1256</v>
      </c>
      <c r="D34" s="26" t="s">
        <v>1257</v>
      </c>
    </row>
    <row r="36" spans="2:4" x14ac:dyDescent="0.25">
      <c r="B36" s="11" t="s">
        <v>1258</v>
      </c>
    </row>
    <row r="38" spans="2:4" ht="15.75" x14ac:dyDescent="0.3">
      <c r="B38" s="27">
        <f>F2*I2</f>
        <v>0</v>
      </c>
    </row>
    <row r="42" spans="2:4" ht="18" x14ac:dyDescent="0.25">
      <c r="B42" s="21" t="s">
        <v>1259</v>
      </c>
    </row>
    <row r="44" spans="2:4" x14ac:dyDescent="0.25">
      <c r="B44" s="11" t="s">
        <v>1260</v>
      </c>
    </row>
    <row r="46" spans="2:4" x14ac:dyDescent="0.25">
      <c r="B46" s="11" t="s">
        <v>1261</v>
      </c>
    </row>
    <row r="48" spans="2:4" x14ac:dyDescent="0.25">
      <c r="B48" s="22" t="s">
        <v>1262</v>
      </c>
    </row>
    <row r="50" spans="2:2" x14ac:dyDescent="0.25">
      <c r="B50" s="11" t="s">
        <v>1242</v>
      </c>
    </row>
    <row r="51" spans="2:2" x14ac:dyDescent="0.25">
      <c r="B51" s="23"/>
    </row>
    <row r="52" spans="2:2" x14ac:dyDescent="0.25">
      <c r="B52" s="23" t="s">
        <v>1263</v>
      </c>
    </row>
    <row r="53" spans="2:2" x14ac:dyDescent="0.25">
      <c r="B53" s="23" t="s">
        <v>1264</v>
      </c>
    </row>
    <row r="55" spans="2:2" x14ac:dyDescent="0.25">
      <c r="B55" s="11" t="s">
        <v>1265</v>
      </c>
    </row>
    <row r="57" spans="2:2" x14ac:dyDescent="0.25">
      <c r="B57" s="11" t="s">
        <v>1266</v>
      </c>
    </row>
    <row r="61" spans="2:2" ht="18" x14ac:dyDescent="0.25">
      <c r="B61" s="21" t="s">
        <v>1267</v>
      </c>
    </row>
    <row r="63" spans="2:2" x14ac:dyDescent="0.25">
      <c r="B63" s="11" t="s">
        <v>1268</v>
      </c>
    </row>
    <row r="65" spans="2:2" x14ac:dyDescent="0.25">
      <c r="B65" s="11" t="s">
        <v>1269</v>
      </c>
    </row>
    <row r="66" spans="2:2" x14ac:dyDescent="0.25">
      <c r="B66" s="23"/>
    </row>
    <row r="67" spans="2:2" x14ac:dyDescent="0.25">
      <c r="B67" s="23" t="s">
        <v>1270</v>
      </c>
    </row>
    <row r="68" spans="2:2" x14ac:dyDescent="0.25">
      <c r="B68" s="23" t="s">
        <v>1271</v>
      </c>
    </row>
    <row r="69" spans="2:2" x14ac:dyDescent="0.25">
      <c r="B69" s="23" t="s">
        <v>1272</v>
      </c>
    </row>
    <row r="70" spans="2:2" x14ac:dyDescent="0.25">
      <c r="B70" s="23" t="s">
        <v>1273</v>
      </c>
    </row>
    <row r="72" spans="2:2" x14ac:dyDescent="0.25">
      <c r="B72" s="11" t="s">
        <v>1242</v>
      </c>
    </row>
    <row r="74" spans="2:2" x14ac:dyDescent="0.25">
      <c r="B74" s="22" t="s">
        <v>1274</v>
      </c>
    </row>
    <row r="76" spans="2:2" x14ac:dyDescent="0.25">
      <c r="B76" s="11" t="s">
        <v>1275</v>
      </c>
    </row>
    <row r="80" spans="2:2" ht="18" x14ac:dyDescent="0.25">
      <c r="B80" s="21" t="s">
        <v>1276</v>
      </c>
    </row>
    <row r="82" spans="2:2" x14ac:dyDescent="0.25">
      <c r="B82" s="11" t="s">
        <v>1277</v>
      </c>
    </row>
    <row r="84" spans="2:2" x14ac:dyDescent="0.25">
      <c r="B84" s="11" t="s">
        <v>1278</v>
      </c>
    </row>
    <row r="86" spans="2:2" x14ac:dyDescent="0.25">
      <c r="B86" s="22" t="s">
        <v>1279</v>
      </c>
    </row>
    <row r="88" spans="2:2" x14ac:dyDescent="0.25">
      <c r="B88" s="11" t="s">
        <v>1280</v>
      </c>
    </row>
    <row r="90" spans="2:2" x14ac:dyDescent="0.25">
      <c r="B90" s="22" t="s">
        <v>1281</v>
      </c>
    </row>
    <row r="92" spans="2:2" x14ac:dyDescent="0.25">
      <c r="B92" s="11" t="s">
        <v>1282</v>
      </c>
    </row>
    <row r="94" spans="2:2" x14ac:dyDescent="0.25">
      <c r="B94" s="22" t="s">
        <v>1283</v>
      </c>
    </row>
    <row r="96" spans="2:2" x14ac:dyDescent="0.25">
      <c r="B96" s="11" t="s">
        <v>1284</v>
      </c>
    </row>
    <row r="100" spans="2:2" ht="18" x14ac:dyDescent="0.25">
      <c r="B100" s="21" t="s">
        <v>1285</v>
      </c>
    </row>
    <row r="102" spans="2:2" x14ac:dyDescent="0.25">
      <c r="B102" s="11" t="s">
        <v>1286</v>
      </c>
    </row>
    <row r="104" spans="2:2" x14ac:dyDescent="0.25">
      <c r="B104" s="11" t="s">
        <v>1250</v>
      </c>
    </row>
    <row r="106" spans="2:2" x14ac:dyDescent="0.25">
      <c r="B106" s="22" t="s">
        <v>1287</v>
      </c>
    </row>
    <row r="108" spans="2:2" x14ac:dyDescent="0.25">
      <c r="B108" s="11" t="s">
        <v>1242</v>
      </c>
    </row>
    <row r="110" spans="2:2" x14ac:dyDescent="0.25">
      <c r="B110" s="11" t="s">
        <v>1288</v>
      </c>
    </row>
    <row r="112" spans="2:2" x14ac:dyDescent="0.25">
      <c r="B112" s="11" t="s">
        <v>1258</v>
      </c>
    </row>
    <row r="114" spans="2:2" ht="15.75" x14ac:dyDescent="0.3">
      <c r="B114" s="27">
        <f>L2*M2</f>
        <v>0</v>
      </c>
    </row>
    <row r="118" spans="2:2" ht="18" x14ac:dyDescent="0.25">
      <c r="B118" s="21" t="s">
        <v>1289</v>
      </c>
    </row>
    <row r="120" spans="2:2" x14ac:dyDescent="0.25">
      <c r="B120" s="11" t="s">
        <v>1290</v>
      </c>
    </row>
    <row r="122" spans="2:2" x14ac:dyDescent="0.25">
      <c r="B122" s="11" t="s">
        <v>1291</v>
      </c>
    </row>
    <row r="124" spans="2:2" x14ac:dyDescent="0.25">
      <c r="B124" s="22" t="s">
        <v>1292</v>
      </c>
    </row>
    <row r="126" spans="2:2" x14ac:dyDescent="0.25">
      <c r="B126" s="11" t="s">
        <v>1242</v>
      </c>
    </row>
    <row r="128" spans="2:2" x14ac:dyDescent="0.25">
      <c r="B128" s="11" t="s">
        <v>1293</v>
      </c>
    </row>
    <row r="130" spans="2:2" x14ac:dyDescent="0.25">
      <c r="B130" s="11" t="s">
        <v>1258</v>
      </c>
    </row>
    <row r="132" spans="2:2" ht="15.75" x14ac:dyDescent="0.3">
      <c r="B132" s="27">
        <f>J2*K2</f>
        <v>0</v>
      </c>
    </row>
    <row r="136" spans="2:2" ht="18" x14ac:dyDescent="0.25">
      <c r="B136" s="21" t="s">
        <v>1294</v>
      </c>
    </row>
    <row r="138" spans="2:2" x14ac:dyDescent="0.25">
      <c r="B138" s="11" t="s">
        <v>1295</v>
      </c>
    </row>
    <row r="140" spans="2:2" x14ac:dyDescent="0.25">
      <c r="B140" s="11" t="s">
        <v>1250</v>
      </c>
    </row>
    <row r="142" spans="2:2" x14ac:dyDescent="0.25">
      <c r="B142" s="22" t="s">
        <v>1296</v>
      </c>
    </row>
    <row r="144" spans="2:2" x14ac:dyDescent="0.25">
      <c r="B144" s="11" t="s">
        <v>1242</v>
      </c>
    </row>
    <row r="145" spans="2:2" x14ac:dyDescent="0.25">
      <c r="B145" s="23"/>
    </row>
    <row r="146" spans="2:2" x14ac:dyDescent="0.25">
      <c r="B146" s="23" t="s">
        <v>1297</v>
      </c>
    </row>
    <row r="147" spans="2:2" x14ac:dyDescent="0.25">
      <c r="B147" s="23" t="s">
        <v>1298</v>
      </c>
    </row>
    <row r="149" spans="2:2" x14ac:dyDescent="0.25">
      <c r="B149" s="11" t="s">
        <v>1299</v>
      </c>
    </row>
    <row r="151" spans="2:2" x14ac:dyDescent="0.25">
      <c r="B151" s="22" t="s">
        <v>1300</v>
      </c>
    </row>
    <row r="153" spans="2:2" x14ac:dyDescent="0.25">
      <c r="B153" s="11" t="s">
        <v>1258</v>
      </c>
    </row>
    <row r="155" spans="2:2" ht="15.75" x14ac:dyDescent="0.3">
      <c r="B155" s="27" t="s">
        <v>1301</v>
      </c>
    </row>
    <row r="157" spans="2:2" ht="15.75" x14ac:dyDescent="0.3">
      <c r="B157" s="11" t="s">
        <v>1302</v>
      </c>
    </row>
    <row r="161" spans="2:2" ht="18" x14ac:dyDescent="0.25">
      <c r="B161" s="21" t="s">
        <v>1303</v>
      </c>
    </row>
    <row r="163" spans="2:2" x14ac:dyDescent="0.25">
      <c r="B163" s="11" t="s">
        <v>1304</v>
      </c>
    </row>
    <row r="165" spans="2:2" x14ac:dyDescent="0.25">
      <c r="B165" s="11" t="s">
        <v>1250</v>
      </c>
    </row>
    <row r="167" spans="2:2" x14ac:dyDescent="0.25">
      <c r="B167" s="22" t="s">
        <v>1305</v>
      </c>
    </row>
    <row r="169" spans="2:2" x14ac:dyDescent="0.25">
      <c r="B169" s="11" t="s">
        <v>1242</v>
      </c>
    </row>
    <row r="170" spans="2:2" x14ac:dyDescent="0.25">
      <c r="B170" s="23"/>
    </row>
    <row r="171" spans="2:2" x14ac:dyDescent="0.25">
      <c r="B171" s="23" t="s">
        <v>1306</v>
      </c>
    </row>
    <row r="172" spans="2:2" x14ac:dyDescent="0.25">
      <c r="B172" s="23" t="s">
        <v>1307</v>
      </c>
    </row>
    <row r="174" spans="2:2" x14ac:dyDescent="0.25">
      <c r="B174" s="11" t="s">
        <v>1308</v>
      </c>
    </row>
    <row r="176" spans="2:2" x14ac:dyDescent="0.25">
      <c r="B176" s="11" t="s">
        <v>1258</v>
      </c>
    </row>
    <row r="178" spans="2:2" ht="15.75" x14ac:dyDescent="0.3">
      <c r="B178" s="27">
        <f>P2*E2</f>
        <v>0</v>
      </c>
    </row>
    <row r="182" spans="2:2" ht="23.25" x14ac:dyDescent="0.25">
      <c r="B182" s="28" t="s">
        <v>1309</v>
      </c>
    </row>
    <row r="184" spans="2:2" x14ac:dyDescent="0.25">
      <c r="B184" s="11" t="s">
        <v>1310</v>
      </c>
    </row>
    <row r="186" spans="2:2" x14ac:dyDescent="0.25">
      <c r="B186" s="22" t="s">
        <v>1311</v>
      </c>
    </row>
    <row r="187" spans="2:2" x14ac:dyDescent="0.25">
      <c r="B187" s="11" t="s">
        <v>1312</v>
      </c>
    </row>
    <row r="188" spans="2:2" x14ac:dyDescent="0.25">
      <c r="B188" s="22" t="s">
        <v>1313</v>
      </c>
    </row>
    <row r="189" spans="2:2" x14ac:dyDescent="0.25">
      <c r="B189" s="11" t="s">
        <v>1312</v>
      </c>
    </row>
    <row r="191" spans="2:2" ht="18" x14ac:dyDescent="0.25">
      <c r="B191" s="21" t="s">
        <v>1314</v>
      </c>
    </row>
    <row r="193" spans="2:2" x14ac:dyDescent="0.25">
      <c r="B193" s="11" t="s">
        <v>1312</v>
      </c>
    </row>
    <row r="194" spans="2:2" x14ac:dyDescent="0.25">
      <c r="B194" s="22" t="s">
        <v>1315</v>
      </c>
    </row>
    <row r="195" spans="2:2" x14ac:dyDescent="0.25">
      <c r="B195" s="11" t="s">
        <v>1312</v>
      </c>
    </row>
    <row r="197" spans="2:2" ht="18" x14ac:dyDescent="0.25">
      <c r="B197" s="21" t="s">
        <v>1316</v>
      </c>
    </row>
    <row r="199" spans="2:2" x14ac:dyDescent="0.25">
      <c r="B199" s="11" t="s">
        <v>1312</v>
      </c>
    </row>
    <row r="200" spans="2:2" x14ac:dyDescent="0.25">
      <c r="B200" s="22" t="s">
        <v>1317</v>
      </c>
    </row>
    <row r="201" spans="2:2" x14ac:dyDescent="0.25">
      <c r="B201" s="11" t="s">
        <v>1312</v>
      </c>
    </row>
    <row r="203" spans="2:2" ht="18" x14ac:dyDescent="0.25">
      <c r="B203" s="21" t="s">
        <v>1318</v>
      </c>
    </row>
    <row r="205" spans="2:2" x14ac:dyDescent="0.25">
      <c r="B205" s="11" t="s">
        <v>1312</v>
      </c>
    </row>
    <row r="206" spans="2:2" x14ac:dyDescent="0.25">
      <c r="B206" s="22" t="s">
        <v>1319</v>
      </c>
    </row>
    <row r="207" spans="2:2" x14ac:dyDescent="0.25">
      <c r="B207" s="11" t="s">
        <v>1312</v>
      </c>
    </row>
    <row r="209" spans="2:2" ht="18" x14ac:dyDescent="0.25">
      <c r="B209" s="21" t="s">
        <v>1320</v>
      </c>
    </row>
    <row r="211" spans="2:2" x14ac:dyDescent="0.25">
      <c r="B211" s="11" t="s">
        <v>1321</v>
      </c>
    </row>
    <row r="213" spans="2:2" x14ac:dyDescent="0.25">
      <c r="B213" s="22" t="s">
        <v>1322</v>
      </c>
    </row>
    <row r="214" spans="2:2" x14ac:dyDescent="0.25">
      <c r="B214" s="11" t="s">
        <v>1312</v>
      </c>
    </row>
    <row r="215" spans="2:2" x14ac:dyDescent="0.25">
      <c r="B215" s="22" t="s">
        <v>1323</v>
      </c>
    </row>
    <row r="216" spans="2:2" x14ac:dyDescent="0.25">
      <c r="B216" s="11" t="s">
        <v>1312</v>
      </c>
    </row>
    <row r="218" spans="2:2" ht="18" x14ac:dyDescent="0.25">
      <c r="B218" s="21" t="s">
        <v>1324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E213" sqref="E213"/>
    </sheetView>
  </sheetViews>
  <sheetFormatPr baseColWidth="10" defaultColWidth="9.140625" defaultRowHeight="15" x14ac:dyDescent="0.25"/>
  <cols>
    <col min="1" max="1" width="8" style="11" customWidth="1"/>
    <col min="2" max="2" width="30" style="11" customWidth="1"/>
    <col min="3" max="16384" width="9.140625" style="11"/>
  </cols>
  <sheetData>
    <row r="1" spans="1:2" ht="42" customHeight="1" x14ac:dyDescent="0.25">
      <c r="A1" s="19" t="s">
        <v>1325</v>
      </c>
      <c r="B1" s="19" t="s">
        <v>1326</v>
      </c>
    </row>
    <row r="2" spans="1:2" ht="60" x14ac:dyDescent="0.25">
      <c r="A2" s="18" t="s">
        <v>1327</v>
      </c>
      <c r="B2" s="18" t="s">
        <v>1328</v>
      </c>
    </row>
    <row r="3" spans="1:2" ht="45" x14ac:dyDescent="0.25">
      <c r="A3" s="18" t="s">
        <v>1329</v>
      </c>
      <c r="B3" s="18" t="s">
        <v>1330</v>
      </c>
    </row>
    <row r="4" spans="1:2" ht="60" x14ac:dyDescent="0.25">
      <c r="A4" s="18" t="s">
        <v>1331</v>
      </c>
      <c r="B4" s="18" t="s">
        <v>1332</v>
      </c>
    </row>
    <row r="5" spans="1:2" ht="75" x14ac:dyDescent="0.25">
      <c r="A5" s="18" t="s">
        <v>1333</v>
      </c>
      <c r="B5" s="18" t="s">
        <v>1334</v>
      </c>
    </row>
    <row r="6" spans="1:2" ht="60" x14ac:dyDescent="0.25">
      <c r="A6" s="18" t="s">
        <v>1335</v>
      </c>
      <c r="B6" s="18" t="s">
        <v>1336</v>
      </c>
    </row>
    <row r="7" spans="1:2" ht="120" x14ac:dyDescent="0.25">
      <c r="A7" s="18" t="s">
        <v>1337</v>
      </c>
      <c r="B7" s="18" t="s">
        <v>1338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E213" sqref="E213"/>
    </sheetView>
  </sheetViews>
  <sheetFormatPr baseColWidth="10" defaultColWidth="9.140625" defaultRowHeight="15" x14ac:dyDescent="0.25"/>
  <cols>
    <col min="1" max="1" width="31.42578125" style="11" customWidth="1"/>
    <col min="2" max="2" width="30" style="11" customWidth="1"/>
    <col min="3" max="3" width="20" style="11" customWidth="1"/>
    <col min="4" max="16384" width="9.140625" style="11"/>
  </cols>
  <sheetData>
    <row r="1" spans="1:6" ht="42" customHeight="1" x14ac:dyDescent="0.25">
      <c r="A1" s="19" t="s">
        <v>1339</v>
      </c>
      <c r="B1" s="19" t="s">
        <v>1340</v>
      </c>
      <c r="C1" s="19" t="s">
        <v>1341</v>
      </c>
      <c r="F1" s="11" t="s">
        <v>1342</v>
      </c>
    </row>
    <row r="2" spans="1:6" x14ac:dyDescent="0.25">
      <c r="A2" s="18" t="s">
        <v>1343</v>
      </c>
      <c r="B2" s="18" t="s">
        <v>1344</v>
      </c>
      <c r="C2" s="18" t="s">
        <v>91</v>
      </c>
      <c r="D2" s="11" t="s">
        <v>1345</v>
      </c>
      <c r="F2" s="11" t="s">
        <v>1346</v>
      </c>
    </row>
    <row r="3" spans="1:6" x14ac:dyDescent="0.25">
      <c r="A3" s="18" t="s">
        <v>36</v>
      </c>
      <c r="B3" s="18" t="s">
        <v>1347</v>
      </c>
      <c r="C3" s="18" t="s">
        <v>53</v>
      </c>
      <c r="D3" s="11" t="s">
        <v>1348</v>
      </c>
      <c r="F3" s="11" t="s">
        <v>1349</v>
      </c>
    </row>
    <row r="4" spans="1:6" x14ac:dyDescent="0.25">
      <c r="A4" s="18" t="s">
        <v>43</v>
      </c>
      <c r="B4" s="18" t="s">
        <v>1350</v>
      </c>
      <c r="C4" s="18" t="s">
        <v>58</v>
      </c>
      <c r="D4" s="11" t="s">
        <v>1351</v>
      </c>
      <c r="F4" s="11" t="s">
        <v>1352</v>
      </c>
    </row>
    <row r="5" spans="1:6" x14ac:dyDescent="0.25">
      <c r="A5" s="18" t="s">
        <v>47</v>
      </c>
      <c r="B5" s="18" t="s">
        <v>1353</v>
      </c>
      <c r="C5" s="18" t="s">
        <v>40</v>
      </c>
      <c r="D5" s="11" t="s">
        <v>1354</v>
      </c>
    </row>
    <row r="6" spans="1:6" ht="45" x14ac:dyDescent="0.25">
      <c r="A6" s="18" t="s">
        <v>51</v>
      </c>
      <c r="B6" s="18" t="s">
        <v>1355</v>
      </c>
      <c r="C6" s="18" t="s">
        <v>1356</v>
      </c>
    </row>
    <row r="7" spans="1:6" ht="30" x14ac:dyDescent="0.25">
      <c r="A7" s="18" t="s">
        <v>56</v>
      </c>
      <c r="B7" s="18" t="s">
        <v>1353</v>
      </c>
      <c r="C7" s="18" t="s">
        <v>1357</v>
      </c>
    </row>
    <row r="8" spans="1:6" x14ac:dyDescent="0.25">
      <c r="A8" s="11" t="s">
        <v>61</v>
      </c>
    </row>
    <row r="9" spans="1:6" x14ac:dyDescent="0.25">
      <c r="A9" s="11" t="s">
        <v>65</v>
      </c>
    </row>
    <row r="10" spans="1:6" x14ac:dyDescent="0.25">
      <c r="A10" s="11" t="s">
        <v>69</v>
      </c>
    </row>
    <row r="11" spans="1:6" x14ac:dyDescent="0.25">
      <c r="A11" s="11" t="s">
        <v>73</v>
      </c>
    </row>
    <row r="12" spans="1:6" x14ac:dyDescent="0.25">
      <c r="A12" s="11" t="s">
        <v>77</v>
      </c>
    </row>
    <row r="13" spans="1:6" x14ac:dyDescent="0.25">
      <c r="A13" s="11" t="s">
        <v>81</v>
      </c>
    </row>
    <row r="14" spans="1:6" x14ac:dyDescent="0.25">
      <c r="A14" s="11" t="s">
        <v>84</v>
      </c>
    </row>
    <row r="15" spans="1:6" x14ac:dyDescent="0.25">
      <c r="A15" s="11" t="s">
        <v>87</v>
      </c>
    </row>
    <row r="16" spans="1:6" x14ac:dyDescent="0.25">
      <c r="A16" s="11" t="s">
        <v>90</v>
      </c>
    </row>
    <row r="17" spans="1:1" x14ac:dyDescent="0.25">
      <c r="A17" s="11" t="s">
        <v>94</v>
      </c>
    </row>
    <row r="18" spans="1:1" x14ac:dyDescent="0.25">
      <c r="A18" s="11" t="s">
        <v>97</v>
      </c>
    </row>
    <row r="19" spans="1:1" x14ac:dyDescent="0.25">
      <c r="A19" s="11" t="s">
        <v>100</v>
      </c>
    </row>
    <row r="20" spans="1:1" x14ac:dyDescent="0.25">
      <c r="A20" s="11" t="s">
        <v>103</v>
      </c>
    </row>
    <row r="21" spans="1:1" x14ac:dyDescent="0.25">
      <c r="A21" s="11" t="s">
        <v>106</v>
      </c>
    </row>
    <row r="22" spans="1:1" x14ac:dyDescent="0.25">
      <c r="A22" s="11" t="s">
        <v>109</v>
      </c>
    </row>
    <row r="23" spans="1:1" x14ac:dyDescent="0.25">
      <c r="A23" s="11" t="s">
        <v>112</v>
      </c>
    </row>
    <row r="24" spans="1:1" x14ac:dyDescent="0.25">
      <c r="A24" s="11" t="s">
        <v>115</v>
      </c>
    </row>
    <row r="25" spans="1:1" x14ac:dyDescent="0.25">
      <c r="A25" s="11" t="s">
        <v>118</v>
      </c>
    </row>
    <row r="26" spans="1:1" x14ac:dyDescent="0.25">
      <c r="A26" s="11" t="s">
        <v>121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E213" sqref="E213"/>
    </sheetView>
  </sheetViews>
  <sheetFormatPr baseColWidth="10" defaultColWidth="9.140625" defaultRowHeight="15" x14ac:dyDescent="0.25"/>
  <cols>
    <col min="1" max="1" width="8" style="11" customWidth="1"/>
    <col min="2" max="2" width="30" style="11" customWidth="1"/>
    <col min="3" max="3" width="20" style="11" customWidth="1"/>
    <col min="4" max="4" width="16" style="11" customWidth="1"/>
    <col min="5" max="6" width="24" style="11" customWidth="1"/>
    <col min="7" max="7" width="16" style="11" customWidth="1"/>
    <col min="8" max="16384" width="9.140625" style="11"/>
  </cols>
  <sheetData>
    <row r="1" spans="1:4" ht="42" customHeight="1" x14ac:dyDescent="0.25">
      <c r="A1" s="29" t="s">
        <v>1358</v>
      </c>
      <c r="B1" s="29" t="s">
        <v>1359</v>
      </c>
      <c r="C1" s="29" t="s">
        <v>1360</v>
      </c>
      <c r="D1" s="29" t="s">
        <v>1361</v>
      </c>
    </row>
    <row r="2" spans="1:4" x14ac:dyDescent="0.25">
      <c r="A2" s="11" t="s">
        <v>38</v>
      </c>
      <c r="B2" s="11">
        <v>18</v>
      </c>
      <c r="C2" s="11">
        <v>1</v>
      </c>
      <c r="D2" s="11" t="s">
        <v>1362</v>
      </c>
    </row>
    <row r="3" spans="1:4" x14ac:dyDescent="0.25">
      <c r="A3" s="11" t="s">
        <v>44</v>
      </c>
      <c r="B3" s="11">
        <v>18</v>
      </c>
      <c r="C3" s="11">
        <v>1</v>
      </c>
      <c r="D3" s="11" t="s">
        <v>1362</v>
      </c>
    </row>
    <row r="4" spans="1:4" x14ac:dyDescent="0.25">
      <c r="A4" s="11" t="s">
        <v>48</v>
      </c>
      <c r="B4" s="11">
        <v>16</v>
      </c>
      <c r="C4" s="11">
        <v>0.9</v>
      </c>
      <c r="D4" s="11" t="s">
        <v>1362</v>
      </c>
    </row>
    <row r="5" spans="1:4" x14ac:dyDescent="0.25">
      <c r="A5" s="11" t="s">
        <v>52</v>
      </c>
      <c r="B5" s="11">
        <v>12</v>
      </c>
      <c r="C5" s="11">
        <v>1.1000000000000001</v>
      </c>
      <c r="D5" s="11" t="s">
        <v>1362</v>
      </c>
    </row>
    <row r="6" spans="1:4" x14ac:dyDescent="0.25">
      <c r="A6" s="11" t="s">
        <v>57</v>
      </c>
      <c r="B6" s="11">
        <v>8</v>
      </c>
      <c r="C6" s="11">
        <v>1.2</v>
      </c>
      <c r="D6" s="11" t="s">
        <v>1362</v>
      </c>
    </row>
    <row r="7" spans="1:4" x14ac:dyDescent="0.25">
      <c r="A7" s="11" t="s">
        <v>62</v>
      </c>
      <c r="B7" s="11">
        <v>7</v>
      </c>
      <c r="C7" s="11">
        <v>1.1000000000000001</v>
      </c>
      <c r="D7" s="11" t="s">
        <v>1362</v>
      </c>
    </row>
    <row r="8" spans="1:4" x14ac:dyDescent="0.25">
      <c r="A8" s="11" t="s">
        <v>66</v>
      </c>
      <c r="B8" s="11">
        <v>10</v>
      </c>
      <c r="C8" s="11">
        <v>0.8</v>
      </c>
      <c r="D8" s="11" t="s">
        <v>1362</v>
      </c>
    </row>
    <row r="9" spans="1:4" x14ac:dyDescent="0.25">
      <c r="A9" s="11" t="s">
        <v>70</v>
      </c>
      <c r="B9" s="11">
        <v>9</v>
      </c>
      <c r="C9" s="11">
        <v>0.9</v>
      </c>
      <c r="D9" s="11" t="s">
        <v>1362</v>
      </c>
    </row>
    <row r="10" spans="1:4" x14ac:dyDescent="0.25">
      <c r="A10" s="11" t="s">
        <v>74</v>
      </c>
      <c r="B10" s="11">
        <v>10</v>
      </c>
      <c r="C10" s="11">
        <v>0.9</v>
      </c>
      <c r="D10" s="11" t="s">
        <v>1362</v>
      </c>
    </row>
    <row r="11" spans="1:4" x14ac:dyDescent="0.25">
      <c r="A11" s="11" t="s">
        <v>78</v>
      </c>
      <c r="B11" s="11">
        <v>14</v>
      </c>
      <c r="C11" s="11">
        <v>1</v>
      </c>
      <c r="D11" s="11" t="s">
        <v>1362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Résumé</vt:lpstr>
      <vt:lpstr>ملخص</vt:lpstr>
      <vt:lpstr>التجميع</vt:lpstr>
      <vt:lpstr>Explic_Col</vt:lpstr>
      <vt:lpstr>Guide_Formules</vt:lpstr>
      <vt:lpstr>Parametres</vt:lpstr>
      <vt:lpstr>Cultures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mounir_sellami@yahoo.fr</cp:lastModifiedBy>
  <dcterms:created xsi:type="dcterms:W3CDTF">2026-09-16T08:33:55Z</dcterms:created>
  <dcterms:modified xsi:type="dcterms:W3CDTF">2026-09-16T08:46:01Z</dcterms:modified>
</cp:coreProperties>
</file>